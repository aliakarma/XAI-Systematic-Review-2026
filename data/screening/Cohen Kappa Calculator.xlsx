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i Akarma\Desktop\Research Related\5-Explainable AI\IEEEE\Last\"/>
    </mc:Choice>
  </mc:AlternateContent>
  <xr:revisionPtr revIDLastSave="0" documentId="13_ncr:1_{E537ADA3-D909-489E-B6E9-DBA74D32A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hen Kappa Calculato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3" i="4"/>
  <c r="B12" i="4"/>
  <c r="B9" i="4"/>
  <c r="B15" i="4" l="1"/>
  <c r="B16" i="4" s="1"/>
</calcChain>
</file>

<file path=xl/sharedStrings.xml><?xml version="1.0" encoding="utf-8"?>
<sst xmlns="http://schemas.openxmlformats.org/spreadsheetml/2006/main" count="48" uniqueCount="46">
  <si>
    <t>Cohen's Kappa Inter-Rater Agreement Calculator</t>
  </si>
  <si>
    <t>Total full-text articles assessed</t>
  </si>
  <si>
    <t>Both reviewers said INCLUDE</t>
  </si>
  <si>
    <t>Both reviewers said EXCLUDE</t>
  </si>
  <si>
    <t>Reviewer 1 = Include, Reviewer 2 = Exclude</t>
  </si>
  <si>
    <t>Reviewer 1 = Exclude, Reviewer 2 = Include</t>
  </si>
  <si>
    <t>Validation: Sum of all four cells should equal total</t>
  </si>
  <si>
    <t>SECTION B — Automatic Kappa Calculation</t>
  </si>
  <si>
    <t>Observed Agreement (Po)</t>
  </si>
  <si>
    <t>Proportion of cases both reviewers agreed on</t>
  </si>
  <si>
    <t>Expected: P(both say Include)</t>
  </si>
  <si>
    <t>Marginal probability × marginal probability</t>
  </si>
  <si>
    <t>Expected: P(both say Exclude)</t>
  </si>
  <si>
    <t>Expected Agreement (Pe)</t>
  </si>
  <si>
    <t>Sum of expected probabilities</t>
  </si>
  <si>
    <t>Cohen's Kappa  (κ)</t>
  </si>
  <si>
    <t>κ = (Po - Pe) / (1 - Pe)</t>
  </si>
  <si>
    <t>SECTION C — Interpretation Guide (Landis &amp; Koch, 1977)</t>
  </si>
  <si>
    <t>κ Range</t>
  </si>
  <si>
    <t>Interpretation</t>
  </si>
  <si>
    <t>Acceptable for Systematic Review?</t>
  </si>
  <si>
    <t>Wording for Paper</t>
  </si>
  <si>
    <t>&lt; 0.00</t>
  </si>
  <si>
    <t>Poor</t>
  </si>
  <si>
    <t>❌ No — redo screening</t>
  </si>
  <si>
    <t>Not appropriate for publication</t>
  </si>
  <si>
    <t>0.00–0.20</t>
  </si>
  <si>
    <t>Slight</t>
  </si>
  <si>
    <t>❌ No — major disagreement</t>
  </si>
  <si>
    <t>0.21–0.40</t>
  </si>
  <si>
    <t>Fair</t>
  </si>
  <si>
    <t>⚠️ Marginal — explain disagreements</t>
  </si>
  <si>
    <t>Fair inter-rater agreement (κ = X)</t>
  </si>
  <si>
    <t>0.41–0.60</t>
  </si>
  <si>
    <t>Moderate</t>
  </si>
  <si>
    <t>✅ Acceptable with justification</t>
  </si>
  <si>
    <t>Moderate inter-rater agreement (κ = X)</t>
  </si>
  <si>
    <t>0.61–0.80</t>
  </si>
  <si>
    <t>Substantial</t>
  </si>
  <si>
    <t>✅ Good — meets Q1 standards</t>
  </si>
  <si>
    <t>Substantial inter-rater agreement (κ = X, p &lt; 0.001)</t>
  </si>
  <si>
    <t>0.81–1.00</t>
  </si>
  <si>
    <t>Almost Perfect</t>
  </si>
  <si>
    <t>✅ Excellent</t>
  </si>
  <si>
    <t>Almost perfect inter-rater agreement (κ = X, p &lt; 0.001)</t>
  </si>
  <si>
    <t>SECTION A — Input Data (Full-Text Screening Stage)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</si>
</sst>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sz val="10"/>
      <color rgb="FF404040"/>
      <name val="Arial"/>
    </font>
    <font>
      <b/>
      <sz val="10"/>
      <color rgb="FF404040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b/>
      <sz val="9"/>
      <color rgb="FF404040"/>
      <name val="Arial"/>
    </font>
    <font>
      <sz val="9"/>
      <color rgb="FF404040"/>
      <name val="Arial"/>
    </font>
    <font>
      <b/>
      <sz val="11"/>
      <color rgb="FF0000FF"/>
      <name val="Arial"/>
    </font>
    <font>
      <b/>
      <sz val="9"/>
      <color rgb="FF17616B"/>
      <name val="Arial"/>
    </font>
    <font>
      <b/>
      <sz val="11"/>
      <color rgb="FF17616B"/>
      <name val="Arial"/>
    </font>
    <font>
      <b/>
      <sz val="11"/>
      <color rgb="FF1E6B40"/>
      <name val="Arial"/>
    </font>
    <font>
      <i/>
      <sz val="9"/>
      <color rgb="FF404040"/>
      <name val="Arial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DECEA"/>
      </patternFill>
    </fill>
    <fill>
      <patternFill patternType="solid">
        <fgColor rgb="FFFEF4DC"/>
      </patternFill>
    </fill>
    <fill>
      <patternFill patternType="solid">
        <fgColor rgb="FFE8F6EE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D4EEF1"/>
      </patternFill>
    </fill>
    <fill>
      <patternFill patternType="solid">
        <fgColor rgb="FF17616B"/>
      </patternFill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17616B"/>
      </left>
      <right/>
      <top/>
      <bottom/>
      <diagonal/>
    </border>
    <border>
      <left style="thin">
        <color rgb="FF2E75B6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165" fontId="3" fillId="9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5" fontId="12" fillId="7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4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F3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showGridLines="0" tabSelected="1" zoomScale="107" zoomScaleNormal="107" workbookViewId="0">
      <selection activeCell="C4" activeCellId="1" sqref="D3 C4:E9"/>
    </sheetView>
  </sheetViews>
  <sheetFormatPr defaultRowHeight="14.4" x14ac:dyDescent="0.3"/>
  <cols>
    <col min="1" max="1" width="36" customWidth="1"/>
    <col min="2" max="2" width="20.88671875" customWidth="1"/>
    <col min="3" max="3" width="34.77734375" customWidth="1"/>
    <col min="4" max="4" width="44.33203125" customWidth="1"/>
    <col min="5" max="5" width="36" customWidth="1"/>
  </cols>
  <sheetData>
    <row r="1" spans="1:5" ht="28.05" customHeight="1" x14ac:dyDescent="0.3">
      <c r="A1" s="25" t="s">
        <v>0</v>
      </c>
      <c r="B1" s="26"/>
      <c r="C1" s="26"/>
      <c r="D1" s="26"/>
      <c r="E1" s="26"/>
    </row>
    <row r="2" spans="1:5" ht="13.2" customHeight="1" x14ac:dyDescent="0.3"/>
    <row r="3" spans="1:5" ht="15.6" x14ac:dyDescent="0.3">
      <c r="A3" s="32" t="s">
        <v>45</v>
      </c>
      <c r="B3" s="33"/>
    </row>
    <row r="4" spans="1:5" ht="19.95" customHeight="1" x14ac:dyDescent="0.3">
      <c r="A4" s="8" t="s">
        <v>1</v>
      </c>
      <c r="B4" s="23">
        <v>228</v>
      </c>
      <c r="C4" s="29"/>
      <c r="D4" s="29"/>
      <c r="E4" s="29"/>
    </row>
    <row r="5" spans="1:5" ht="22.05" customHeight="1" x14ac:dyDescent="0.3">
      <c r="A5" s="8" t="s">
        <v>2</v>
      </c>
      <c r="B5" s="23">
        <v>190</v>
      </c>
      <c r="C5" s="29"/>
      <c r="D5" s="29"/>
      <c r="E5" s="29"/>
    </row>
    <row r="6" spans="1:5" ht="22.05" customHeight="1" x14ac:dyDescent="0.3">
      <c r="A6" s="8" t="s">
        <v>3</v>
      </c>
      <c r="B6" s="23">
        <v>28</v>
      </c>
      <c r="C6" s="29"/>
      <c r="D6" s="29"/>
      <c r="E6" s="29"/>
    </row>
    <row r="7" spans="1:5" ht="34.200000000000003" customHeight="1" x14ac:dyDescent="0.3">
      <c r="A7" s="8" t="s">
        <v>4</v>
      </c>
      <c r="B7" s="23">
        <v>5</v>
      </c>
      <c r="C7" s="29"/>
      <c r="D7" s="29"/>
      <c r="E7" s="29"/>
    </row>
    <row r="8" spans="1:5" ht="31.8" customHeight="1" x14ac:dyDescent="0.3">
      <c r="A8" s="8" t="s">
        <v>5</v>
      </c>
      <c r="B8" s="23">
        <v>5</v>
      </c>
      <c r="C8" s="29"/>
      <c r="D8" s="29"/>
      <c r="E8" s="29"/>
    </row>
    <row r="9" spans="1:5" ht="27" customHeight="1" x14ac:dyDescent="0.3">
      <c r="A9" s="9" t="s">
        <v>6</v>
      </c>
      <c r="B9" s="24">
        <f>B5+B6+B7+B8</f>
        <v>228</v>
      </c>
      <c r="C9" s="29"/>
      <c r="D9" s="29"/>
      <c r="E9" s="29"/>
    </row>
    <row r="10" spans="1:5" ht="36.6" customHeight="1" x14ac:dyDescent="0.3"/>
    <row r="11" spans="1:5" ht="19.95" customHeight="1" x14ac:dyDescent="0.3">
      <c r="A11" s="30" t="s">
        <v>7</v>
      </c>
      <c r="B11" s="31"/>
      <c r="C11" s="31"/>
    </row>
    <row r="12" spans="1:5" ht="18.600000000000001" customHeight="1" x14ac:dyDescent="0.3">
      <c r="A12" s="6" t="s">
        <v>8</v>
      </c>
      <c r="B12" s="10">
        <f>( B5+B6 ) / B4</f>
        <v>0.95614035087719296</v>
      </c>
      <c r="C12" s="7" t="s">
        <v>9</v>
      </c>
    </row>
    <row r="13" spans="1:5" ht="31.2" customHeight="1" x14ac:dyDescent="0.3">
      <c r="A13" s="1" t="s">
        <v>10</v>
      </c>
      <c r="B13" s="11">
        <f>(( B5+B7 ) / B4) * (( B5+B8 ) / B4)</f>
        <v>0.7314750692520775</v>
      </c>
      <c r="C13" s="7" t="s">
        <v>11</v>
      </c>
    </row>
    <row r="14" spans="1:5" ht="19.95" customHeight="1" x14ac:dyDescent="0.3">
      <c r="A14" s="6" t="s">
        <v>12</v>
      </c>
      <c r="B14" s="10">
        <f>(( B6+B8 ) / B4) * (( B6+B7 ) / B4)</f>
        <v>2.0948753462603879E-2</v>
      </c>
      <c r="C14" s="7" t="s">
        <v>11</v>
      </c>
    </row>
    <row r="15" spans="1:5" ht="22.05" customHeight="1" x14ac:dyDescent="0.3">
      <c r="A15" s="1" t="s">
        <v>13</v>
      </c>
      <c r="B15" s="11">
        <f>B13 + B14</f>
        <v>0.75242382271468133</v>
      </c>
      <c r="C15" s="7" t="s">
        <v>14</v>
      </c>
    </row>
    <row r="16" spans="1:5" ht="22.05" customHeight="1" x14ac:dyDescent="0.3">
      <c r="A16" s="2" t="s">
        <v>15</v>
      </c>
      <c r="B16" s="12">
        <f>( B12 - B15 ) / ( 1 - B15 )</f>
        <v>0.82284382284382285</v>
      </c>
      <c r="C16" s="7" t="s">
        <v>16</v>
      </c>
    </row>
    <row r="17" spans="1:4" ht="22.05" customHeight="1" x14ac:dyDescent="0.3"/>
    <row r="18" spans="1:4" ht="22.05" customHeight="1" x14ac:dyDescent="0.3">
      <c r="A18" s="27" t="s">
        <v>17</v>
      </c>
      <c r="B18" s="28"/>
      <c r="C18" s="28"/>
      <c r="D18" s="28"/>
    </row>
    <row r="19" spans="1:4" ht="22.05" customHeight="1" x14ac:dyDescent="0.3">
      <c r="A19" s="5" t="s">
        <v>18</v>
      </c>
      <c r="B19" s="5" t="s">
        <v>19</v>
      </c>
      <c r="C19" s="5" t="s">
        <v>20</v>
      </c>
      <c r="D19" s="5" t="s">
        <v>21</v>
      </c>
    </row>
    <row r="20" spans="1:4" x14ac:dyDescent="0.3">
      <c r="A20" s="13" t="s">
        <v>22</v>
      </c>
      <c r="B20" s="13" t="s">
        <v>23</v>
      </c>
      <c r="C20" s="3" t="s">
        <v>24</v>
      </c>
      <c r="D20" s="14" t="s">
        <v>25</v>
      </c>
    </row>
    <row r="21" spans="1:4" ht="19.8" customHeight="1" x14ac:dyDescent="0.3">
      <c r="A21" s="13" t="s">
        <v>26</v>
      </c>
      <c r="B21" s="13" t="s">
        <v>27</v>
      </c>
      <c r="C21" s="3" t="s">
        <v>28</v>
      </c>
      <c r="D21" s="14" t="s">
        <v>25</v>
      </c>
    </row>
    <row r="22" spans="1:4" ht="19.95" customHeight="1" x14ac:dyDescent="0.3">
      <c r="A22" s="15" t="s">
        <v>29</v>
      </c>
      <c r="B22" s="15" t="s">
        <v>30</v>
      </c>
      <c r="C22" s="16" t="s">
        <v>31</v>
      </c>
      <c r="D22" s="17" t="s">
        <v>32</v>
      </c>
    </row>
    <row r="23" spans="1:4" x14ac:dyDescent="0.3">
      <c r="A23" s="18" t="s">
        <v>33</v>
      </c>
      <c r="B23" s="18" t="s">
        <v>34</v>
      </c>
      <c r="C23" s="4" t="s">
        <v>35</v>
      </c>
      <c r="D23" s="19" t="s">
        <v>36</v>
      </c>
    </row>
    <row r="24" spans="1:4" ht="22.05" customHeight="1" x14ac:dyDescent="0.3">
      <c r="A24" s="18" t="s">
        <v>37</v>
      </c>
      <c r="B24" s="18" t="s">
        <v>38</v>
      </c>
      <c r="C24" s="4" t="s">
        <v>39</v>
      </c>
      <c r="D24" s="19" t="s">
        <v>40</v>
      </c>
    </row>
    <row r="25" spans="1:4" ht="22.05" customHeight="1" x14ac:dyDescent="0.3">
      <c r="A25" s="20" t="s">
        <v>41</v>
      </c>
      <c r="B25" s="20" t="s">
        <v>42</v>
      </c>
      <c r="C25" s="21" t="s">
        <v>43</v>
      </c>
      <c r="D25" s="22" t="s">
        <v>44</v>
      </c>
    </row>
    <row r="26" spans="1:4" ht="22.05" customHeight="1" x14ac:dyDescent="0.3"/>
    <row r="27" spans="1:4" ht="22.05" customHeight="1" x14ac:dyDescent="0.3"/>
    <row r="28" spans="1:4" ht="22.05" customHeight="1" x14ac:dyDescent="0.3"/>
    <row r="29" spans="1:4" ht="22.05" customHeight="1" x14ac:dyDescent="0.3"/>
    <row r="31" spans="1:4" ht="7.95" customHeight="1" x14ac:dyDescent="0.3"/>
    <row r="32" spans="1:4" ht="19.95" customHeight="1" x14ac:dyDescent="0.3"/>
    <row r="33" ht="60" customHeight="1" x14ac:dyDescent="0.3"/>
  </sheetData>
  <mergeCells count="5">
    <mergeCell ref="A18:D18"/>
    <mergeCell ref="C4:E9"/>
    <mergeCell ref="A11:C11"/>
    <mergeCell ref="A3:B3"/>
    <mergeCell ref="A1:E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 Kappa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علي  عكرمة</cp:lastModifiedBy>
  <cp:lastPrinted>2026-03-16T20:17:43Z</cp:lastPrinted>
  <dcterms:created xsi:type="dcterms:W3CDTF">2026-03-16T19:57:11Z</dcterms:created>
  <dcterms:modified xsi:type="dcterms:W3CDTF">2026-03-17T11:34:16Z</dcterms:modified>
</cp:coreProperties>
</file>