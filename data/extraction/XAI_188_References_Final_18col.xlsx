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li Akarma\Desktop\Research Related\5-Explainable AI\IEEEE\Last\"/>
    </mc:Choice>
  </mc:AlternateContent>
  <xr:revisionPtr revIDLastSave="0" documentId="13_ncr:1_{34A21BBF-F2C1-45BF-BEBF-C6840FCD6D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Extraction Form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88" i="3" l="1"/>
  <c r="R186" i="3"/>
  <c r="R182" i="3"/>
  <c r="R181" i="3"/>
  <c r="R179" i="3"/>
  <c r="R178" i="3"/>
  <c r="R177" i="3"/>
  <c r="R176" i="3"/>
  <c r="R174" i="3"/>
  <c r="R173" i="3"/>
  <c r="R172" i="3"/>
  <c r="R171" i="3"/>
  <c r="R168" i="3"/>
  <c r="R165" i="3"/>
  <c r="R164" i="3"/>
  <c r="R163" i="3"/>
  <c r="R162" i="3"/>
  <c r="R160" i="3"/>
  <c r="R159" i="3"/>
  <c r="R157" i="3"/>
  <c r="R153" i="3"/>
  <c r="R152" i="3"/>
  <c r="R151" i="3"/>
  <c r="R150" i="3"/>
  <c r="R148" i="3"/>
  <c r="R147" i="3"/>
  <c r="R146" i="3"/>
  <c r="R145" i="3"/>
  <c r="R144" i="3"/>
  <c r="R142" i="3"/>
  <c r="R141" i="3"/>
  <c r="R140" i="3"/>
  <c r="R139" i="3"/>
  <c r="R138" i="3"/>
  <c r="R135" i="3"/>
  <c r="R134" i="3"/>
  <c r="R133" i="3"/>
  <c r="R130" i="3"/>
  <c r="R129" i="3"/>
  <c r="R128" i="3"/>
  <c r="R127" i="3"/>
  <c r="R126" i="3"/>
  <c r="R125" i="3"/>
  <c r="R124" i="3"/>
  <c r="R123" i="3"/>
  <c r="R121" i="3"/>
  <c r="R118" i="3"/>
  <c r="R112" i="3"/>
  <c r="R105" i="3"/>
  <c r="R99" i="3"/>
  <c r="R96" i="3"/>
  <c r="R93" i="3"/>
  <c r="R89" i="3"/>
  <c r="R88" i="3"/>
  <c r="R87" i="3"/>
  <c r="R85" i="3"/>
  <c r="R84" i="3"/>
  <c r="R83" i="3"/>
  <c r="R82" i="3"/>
  <c r="R81" i="3"/>
  <c r="R75" i="3"/>
  <c r="R74" i="3"/>
  <c r="R72" i="3"/>
  <c r="R70" i="3"/>
  <c r="R69" i="3"/>
  <c r="R68" i="3"/>
  <c r="R67" i="3"/>
  <c r="R60" i="3"/>
  <c r="R58" i="3"/>
  <c r="R53" i="3"/>
  <c r="R52" i="3"/>
  <c r="R51" i="3"/>
  <c r="R50" i="3"/>
  <c r="R49" i="3"/>
  <c r="R48" i="3"/>
  <c r="R47" i="3"/>
  <c r="R46" i="3"/>
  <c r="R42" i="3"/>
  <c r="R41" i="3"/>
  <c r="R39" i="3"/>
  <c r="R38" i="3"/>
  <c r="R37" i="3"/>
  <c r="R36" i="3"/>
  <c r="R35" i="3"/>
  <c r="R34" i="3"/>
  <c r="R31" i="3"/>
  <c r="R30" i="3"/>
  <c r="R29" i="3"/>
  <c r="R25" i="3"/>
  <c r="R24" i="3"/>
  <c r="R22" i="3"/>
  <c r="R20" i="3"/>
  <c r="R19" i="3"/>
  <c r="R18" i="3"/>
  <c r="R17" i="3"/>
  <c r="R16" i="3"/>
  <c r="R14" i="3"/>
  <c r="R13" i="3"/>
  <c r="R12" i="3"/>
  <c r="R11" i="3"/>
  <c r="R10" i="3"/>
  <c r="R9" i="3"/>
  <c r="R6" i="3"/>
  <c r="R5" i="3"/>
  <c r="R4" i="3"/>
</calcChain>
</file>

<file path=xl/sharedStrings.xml><?xml version="1.0" encoding="utf-8"?>
<sst xmlns="http://schemas.openxmlformats.org/spreadsheetml/2006/main" count="2922" uniqueCount="1855">
  <si>
    <t>Record ID</t>
  </si>
  <si>
    <t>Title</t>
  </si>
  <si>
    <t>Authors</t>
  </si>
  <si>
    <t>Year</t>
  </si>
  <si>
    <t>Journal / Conference</t>
  </si>
  <si>
    <t>Notes</t>
  </si>
  <si>
    <t>IEEE Access</t>
  </si>
  <si>
    <t>Artificial Intelligence Review</t>
  </si>
  <si>
    <t>Data Extraction Form — 188 Included Studies   ·   One row per included study</t>
  </si>
  <si>
    <t>Model Category
(ML/DL/RL/LLM/Hybrid)</t>
  </si>
  <si>
    <t>Specific Model(s)</t>
  </si>
  <si>
    <t>XAI Technique(s)
Applied</t>
  </si>
  <si>
    <t>XAI Category
(Model-Specific/
Agnostic/Post-Hoc)</t>
  </si>
  <si>
    <t>Dataset Used</t>
  </si>
  <si>
    <t>Evaluation Metric(s)</t>
  </si>
  <si>
    <t>Evaluation Framework
Dimension Met
(F/P/S/C/Cost/Domain)</t>
  </si>
  <si>
    <t>Key Contribution</t>
  </si>
  <si>
    <t>Quality Score
(High/Med/Low)</t>
  </si>
  <si>
    <t>Limitations Noted</t>
  </si>
  <si>
    <t>Healthcare</t>
  </si>
  <si>
    <t>SHAP, TreeSHAP</t>
  </si>
  <si>
    <t>Model-Agnostic</t>
  </si>
  <si>
    <t>F, P, Domain</t>
  </si>
  <si>
    <t>High</t>
  </si>
  <si>
    <t>Single-centre dataset; limited external validation</t>
  </si>
  <si>
    <t>Finance</t>
  </si>
  <si>
    <t>P, Domain</t>
  </si>
  <si>
    <t>Cybersecurity</t>
  </si>
  <si>
    <t>SHAP</t>
  </si>
  <si>
    <t>F, Domain</t>
  </si>
  <si>
    <t>Medium</t>
  </si>
  <si>
    <t>IEEE Robotics and Automation Letters</t>
  </si>
  <si>
    <t>Robotics</t>
  </si>
  <si>
    <t>Model-Specific</t>
  </si>
  <si>
    <t>Agentic AI</t>
  </si>
  <si>
    <t>Post-Hoc</t>
  </si>
  <si>
    <t>OECD Principles on Artificial Intelligence</t>
  </si>
  <si>
    <t>OECD</t>
  </si>
  <si>
    <t>OECD Policy Instrument</t>
  </si>
  <si>
    <t>All Domains</t>
  </si>
  <si>
    <t>N/A</t>
  </si>
  <si>
    <t>Transparency &amp; Accountability Principles</t>
  </si>
  <si>
    <t>Policy compliance indicators</t>
  </si>
  <si>
    <t>Domain</t>
  </si>
  <si>
    <t>Establishes intergovernmental AI governance principles including transparency and explainability</t>
  </si>
  <si>
    <t>Non-binding; implementation varies across member states</t>
  </si>
  <si>
    <t>Foundational governance reference</t>
  </si>
  <si>
    <t>Explainable Artificial Intelligence (XAI): Concepts, Taxonomies, Opportunities and Challenges toward Responsible AI</t>
  </si>
  <si>
    <t>Arrieta et al.</t>
  </si>
  <si>
    <t>Information Fusion</t>
  </si>
  <si>
    <t>Hybrid</t>
  </si>
  <si>
    <t>Linear models, DNN, Ensemble, Rule-based</t>
  </si>
  <si>
    <t>SHAP, LIME, Grad-CAM, LRP, Saliency Maps, Counterfactuals</t>
  </si>
  <si>
    <t>Model-Agnostic, Post-Hoc, Model-Specific</t>
  </si>
  <si>
    <t>Multiple benchmark datasets</t>
  </si>
  <si>
    <t>Qualitative taxonomy assessment</t>
  </si>
  <si>
    <t>Comprehensive XAI taxonomy covering concepts, techniques, stakeholders, and challenges</t>
  </si>
  <si>
    <t>Predates LLMs and agentic AI; limited empirical evaluation</t>
  </si>
  <si>
    <t>Most cited XAI survey; used as taxonomy backbone in this paper</t>
  </si>
  <si>
    <t>Towards a Rigorous Science of Interpretable Machine Learning</t>
  </si>
  <si>
    <t>Doshi-Velez &amp; Kim</t>
  </si>
  <si>
    <t>arXiv preprint</t>
  </si>
  <si>
    <t>ML/DL</t>
  </si>
  <si>
    <t>General ML models</t>
  </si>
  <si>
    <t>Human evaluation, proxy tasks</t>
  </si>
  <si>
    <t>Synthetic and benchmark datasets</t>
  </si>
  <si>
    <t>Human performance, proxy task accuracy</t>
  </si>
  <si>
    <t>F, P</t>
  </si>
  <si>
    <t>Proposes formal evaluation criteria for interpretability via application-grounded, human-grounded, and functionally-grounded approaches</t>
  </si>
  <si>
    <t>Evaluation framework not fully operationalised for all domains</t>
  </si>
  <si>
    <t>Foundational evaluation framework reference</t>
  </si>
  <si>
    <t>Explanation in Artificial Intelligence: Insights from the Social Sciences</t>
  </si>
  <si>
    <t>Miller</t>
  </si>
  <si>
    <t>Artificial Intelligence</t>
  </si>
  <si>
    <t>ML</t>
  </si>
  <si>
    <t>General models</t>
  </si>
  <si>
    <t>Causal, contrastive, social explanations</t>
  </si>
  <si>
    <t>Human evaluation, qualitative study</t>
  </si>
  <si>
    <t>P</t>
  </si>
  <si>
    <t>Grounds XAI design in social science theories of human explanation; emphasises contrastive and causal explanations</t>
  </si>
  <si>
    <t>Primarily theoretical; limited empirical validation</t>
  </si>
  <si>
    <t>Bridges social science and XAI</t>
  </si>
  <si>
    <t>A Unified Approach to Interpreting Model Predictions (SHAP)</t>
  </si>
  <si>
    <t>Lundberg &amp; Lee</t>
  </si>
  <si>
    <t>NeurIPS</t>
  </si>
  <si>
    <t>Tree models, DNNs, Linear models</t>
  </si>
  <si>
    <t>SHAP (Shapley Additive Explanations)</t>
  </si>
  <si>
    <t>UCI datasets, NHANES</t>
  </si>
  <si>
    <t>Feature attribution consistency, runtime</t>
  </si>
  <si>
    <t>F, C, Cost</t>
  </si>
  <si>
    <t>Introduces SHAP with Shapley value axioms; unifies LIME, DeepLIFT, and tree importance</t>
  </si>
  <si>
    <t>Kernel SHAP is computationally expensive for large feature spaces</t>
  </si>
  <si>
    <t>Most widely deployed XAI method across all five domains</t>
  </si>
  <si>
    <t>Shapley Value: From Cooperative Game to Explainable Artificial Intelligence</t>
  </si>
  <si>
    <t>Li et al.</t>
  </si>
  <si>
    <t>Autonomous Intelligent Systems</t>
  </si>
  <si>
    <t>Ensemble and neural models</t>
  </si>
  <si>
    <t>Various benchmark datasets</t>
  </si>
  <si>
    <t>Attribution accuracy, consistency</t>
  </si>
  <si>
    <t>F, C</t>
  </si>
  <si>
    <t>Survey of Shapley value theory and its XAI applications; covers extensions and variants</t>
  </si>
  <si>
    <t>Does not address computational scalability for very large models</t>
  </si>
  <si>
    <t>Complements Lundberg 2017 with theoretical depth</t>
  </si>
  <si>
    <t>Why Should I Trust You?: Explaining the Predictions of Any Classifier (LIME)</t>
  </si>
  <si>
    <t>Ribeiro et al.</t>
  </si>
  <si>
    <t>ACM SIGKDD</t>
  </si>
  <si>
    <t>Any black-box classifier</t>
  </si>
  <si>
    <t>LIME (Local Interpretable Model-agnostic Explanations)</t>
  </si>
  <si>
    <t>Text, image, tabular datasets</t>
  </si>
  <si>
    <t>Fidelity score, human trust evaluation</t>
  </si>
  <si>
    <t>Introduces LIME; local surrogate model approximation for any classifier</t>
  </si>
  <si>
    <t>Neighbourhood sampling instability; local explanations may not reflect global behaviour</t>
  </si>
  <si>
    <t>Second most widely deployed XAI method after SHAP</t>
  </si>
  <si>
    <t>Grad-CAM: Visual Explanations from Deep Networks via Gradient-based Localization</t>
  </si>
  <si>
    <t>Selvaraju et al.</t>
  </si>
  <si>
    <t>ICCV</t>
  </si>
  <si>
    <t>Healthcare, Robotics</t>
  </si>
  <si>
    <t>DL</t>
  </si>
  <si>
    <t>CNN (VGG, AlexNet, ResNet)</t>
  </si>
  <si>
    <t>Grad-CAM</t>
  </si>
  <si>
    <t>ImageNet, PASCAL VOC</t>
  </si>
  <si>
    <t>Pointing game accuracy, localisation</t>
  </si>
  <si>
    <t>Gradient-weighted class activation mapping for visual CNN explanations without architectural modification</t>
  </si>
  <si>
    <t>Limited spatial resolution; not directly applicable to non-convolutional architectures</t>
  </si>
  <si>
    <t>Dominant post-hoc method for medical imaging and robotic perception</t>
  </si>
  <si>
    <t>Pixel-wise Explanations for Non-linear Classifier Decisions by LRP</t>
  </si>
  <si>
    <t>Bach et al.</t>
  </si>
  <si>
    <t>PLOS ONE</t>
  </si>
  <si>
    <t>Deep neural networks</t>
  </si>
  <si>
    <t>Layer-wise Relevance Propagation (LRP)</t>
  </si>
  <si>
    <t>MNIST, ImageNet, MIT Places</t>
  </si>
  <si>
    <t>AOPC (pixel-flipping), visual quality</t>
  </si>
  <si>
    <t>F</t>
  </si>
  <si>
    <t>Introduces LRP; backpropagates prediction relevance to input pixels layer by layer</t>
  </si>
  <si>
    <t>Computationally expensive for very deep networks; requires access to model internals</t>
  </si>
  <si>
    <t>Widely used in medical imaging XAI</t>
  </si>
  <si>
    <t>Intelligible Models for Healthcare: Predicting Pneumonia Risk and Hospital 30-day Readmission</t>
  </si>
  <si>
    <t>Caruana et al.</t>
  </si>
  <si>
    <t>Explainable Boosting Machine (EBM), GAM</t>
  </si>
  <si>
    <t>EBM, shape functions</t>
  </si>
  <si>
    <t>Medical EHR datasets (pneumonia, readmission)</t>
  </si>
  <si>
    <t>AUC, accuracy, intelligibility rating</t>
  </si>
  <si>
    <t>Demonstrates EBM achieving near black-box accuracy with full interpretability for clinical use</t>
  </si>
  <si>
    <t>Limited to structured tabular data; may not generalise to imaging tasks</t>
  </si>
  <si>
    <t>Foundational paper for intrinsically interpretable clinical AI</t>
  </si>
  <si>
    <t>Induction of Decision Trees</t>
  </si>
  <si>
    <t>Quinlan</t>
  </si>
  <si>
    <t>Machine Learning</t>
  </si>
  <si>
    <t>Decision Tree (ID3)</t>
  </si>
  <si>
    <t>Decision tree rules (Model-Specific)</t>
  </si>
  <si>
    <t>UCI-style datasets</t>
  </si>
  <si>
    <t>Classification accuracy, tree depth</t>
  </si>
  <si>
    <t>Introduces ID3 algorithm for decision tree induction; foundational interpretable ML method</t>
  </si>
  <si>
    <t>Prone to overfitting without pruning; limited to discrete features in original form</t>
  </si>
  <si>
    <t>Foundational interpretable ML reference</t>
  </si>
  <si>
    <t>AI Agents vs. Agentic AI: A Conceptual Taxonomy, Applications and Challenges</t>
  </si>
  <si>
    <t>Sapkota et al.</t>
  </si>
  <si>
    <t>arXiv</t>
  </si>
  <si>
    <t>LLM/Hybrid</t>
  </si>
  <si>
    <t>LLM-based agents, Multi-agent systems</t>
  </si>
  <si>
    <t>Conceptual transparency framework</t>
  </si>
  <si>
    <t>Taxonomy coherence, qualitative analysis</t>
  </si>
  <si>
    <t>Distinguishes AI agents from agentic AI; establishes taxonomy of autonomy levels and governance needs</t>
  </si>
  <si>
    <t>Conceptual paper; limited empirical validation</t>
  </si>
  <si>
    <t>First citation for agentic AI context in paper</t>
  </si>
  <si>
    <t>Explainable Agents (XAg) by Design</t>
  </si>
  <si>
    <t>Rodriguez &amp; Thangarajah</t>
  </si>
  <si>
    <t>AAMAS</t>
  </si>
  <si>
    <t>BDI agents, RL agents</t>
  </si>
  <si>
    <t>TriQPAN explainability architecture</t>
  </si>
  <si>
    <t>Simulated agent environments</t>
  </si>
  <si>
    <t>Explanation completeness, transparency score</t>
  </si>
  <si>
    <t>Proposes intrinsically explainable agent architecture embedding transparency into decision lifecycle</t>
  </si>
  <si>
    <t>Limited to specific agent architectures; scalability to large LLM agents untested</t>
  </si>
  <si>
    <t>Cited for explainable-by-design agentic systems</t>
  </si>
  <si>
    <t>Peeking Inside the Black-Box: A Survey on Explainable Artificial Intelligence (XAI)</t>
  </si>
  <si>
    <t>Adadi &amp; Berrada</t>
  </si>
  <si>
    <t>Various black-box models</t>
  </si>
  <si>
    <t>SHAP, LIME, Grad-CAM, saliency</t>
  </si>
  <si>
    <t>Model-Agnostic, Post-Hoc</t>
  </si>
  <si>
    <t>Multiple survey datasets</t>
  </si>
  <si>
    <t>Qualitative categorisation</t>
  </si>
  <si>
    <t>Early motivational survey of XAI; categorises techniques and motivations</t>
  </si>
  <si>
    <t>Lacks domain-specific depth; predates post-2018 advances</t>
  </si>
  <si>
    <t>Key related survey used for positioning</t>
  </si>
  <si>
    <t>Explainable AI: A Review of Machine Learning Interpretability Methods</t>
  </si>
  <si>
    <t>Linardatos et al.</t>
  </si>
  <si>
    <t>Entropy</t>
  </si>
  <si>
    <t>Linear, tree, ensemble, DNN models</t>
  </si>
  <si>
    <t>SHAP, LIME, PDP, saliency, counterfactuals</t>
  </si>
  <si>
    <t>Standard ML benchmark datasets</t>
  </si>
  <si>
    <t>Classification accuracy, explanation quality</t>
  </si>
  <si>
    <t>Systematic review of ML interpretability methods; organised by model type and technique</t>
  </si>
  <si>
    <t>No coverage of robotics, cybersecurity, or agentic AI</t>
  </si>
  <si>
    <t>Key related survey for positioning table</t>
  </si>
  <si>
    <t>A Survey on Explainable Artificial Intelligence (XAI): Toward Medical XAI</t>
  </si>
  <si>
    <t>Tjoa &amp; Guan</t>
  </si>
  <si>
    <t>IEEE Transactions on Neural Networks and Learning Systems</t>
  </si>
  <si>
    <t>CNN, RNN, attention-based models</t>
  </si>
  <si>
    <t>Grad-CAM, saliency, attention, counterfactuals</t>
  </si>
  <si>
    <t>Post-Hoc, Model-Agnostic</t>
  </si>
  <si>
    <t>Medical imaging datasets (radiology, pathology)</t>
  </si>
  <si>
    <t>Accuracy, sensitivity, clinical evaluation</t>
  </si>
  <si>
    <t>Comprehensive survey of XAI for medical AI; covers imaging, EHR, and clinical NLP</t>
  </si>
  <si>
    <t>Focused solely on healthcare; limited to pre-2021 methods</t>
  </si>
  <si>
    <t>Healthcare-specific related survey</t>
  </si>
  <si>
    <t>Explainable Artificial Intelligence (XAI): What We Know and What Is Left to Attain Trustworthy AI</t>
  </si>
  <si>
    <t>Ali et al.</t>
  </si>
  <si>
    <t>ML, DL, LLM</t>
  </si>
  <si>
    <t>SHAP, LIME, Grad-CAM, counterfactuals, TCAV</t>
  </si>
  <si>
    <t>Multiple domain datasets</t>
  </si>
  <si>
    <t>Accuracy, trust, explanation quality</t>
  </si>
  <si>
    <t>F, P, S, Domain</t>
  </si>
  <si>
    <t>Multi-domain XAI survey covering 5 domains with limited agentic AI; identifies open challenges</t>
  </si>
  <si>
    <t>Limited treatment of agentic AI and governance-aware XAI</t>
  </si>
  <si>
    <t>Direct competitor survey positioned in Table I</t>
  </si>
  <si>
    <t>A Multidisciplinary Survey and Framework for Design and Evaluation of Explainable AI Systems</t>
  </si>
  <si>
    <t>Mohseni et al.</t>
  </si>
  <si>
    <t>ACM Transactions on Interactive Intelligent Systems</t>
  </si>
  <si>
    <t>Various models</t>
  </si>
  <si>
    <t>Human evaluation, proxy metrics</t>
  </si>
  <si>
    <t>Human subject studies</t>
  </si>
  <si>
    <t>User trust, task performance, satisfaction</t>
  </si>
  <si>
    <t>Human-centred XAI framework integrating HCI, cognitive science, and AI; evaluation methodology</t>
  </si>
  <si>
    <t>Limited cybersecurity and finance coverage; no PRISMA</t>
  </si>
  <si>
    <t>Key related survey for human-centred XAI</t>
  </si>
  <si>
    <t>A Literature Review on Applications of Explainable Artificial Intelligence (XAI)</t>
  </si>
  <si>
    <t>Kalasampath et al.</t>
  </si>
  <si>
    <t>SHAP, LIME, Grad-CAM, LRP</t>
  </si>
  <si>
    <t>Multi-domain literature</t>
  </si>
  <si>
    <t>Citation analysis, qualitative review</t>
  </si>
  <si>
    <t>Broad XAI application literature review across multiple fields</t>
  </si>
  <si>
    <t>No PRISMA methodology; limited agentic AI coverage</t>
  </si>
  <si>
    <t>Recent broad survey used for positioning</t>
  </si>
  <si>
    <t>Explainable Artificial Intelligence (XAI): From Inherent Explainability to Large Language Models</t>
  </si>
  <si>
    <t>Mumuni &amp; Mumuni</t>
  </si>
  <si>
    <t>LLMs, DL, ML</t>
  </si>
  <si>
    <t>Chain-of-thought, attention, SHAP</t>
  </si>
  <si>
    <t>Multiple datasets</t>
  </si>
  <si>
    <t>Qualitative assessment</t>
  </si>
  <si>
    <t>Traces XAI evolution from inherently interpretable models to LLM-era explanations</t>
  </si>
  <si>
    <t>arXiv preprint; not peer-reviewed in journal; no systematic selection</t>
  </si>
  <si>
    <t>Broad recent survey used for positioning</t>
  </si>
  <si>
    <t>White, Gray, Black: Effects of XAI Augmentation on Confidence in AI Decision Support</t>
  </si>
  <si>
    <t>Wanner et al.</t>
  </si>
  <si>
    <t>ECIS</t>
  </si>
  <si>
    <t>Decision support models</t>
  </si>
  <si>
    <t>White-box (inherent), gray-box, black-box analysis</t>
  </si>
  <si>
    <t>Model-Specific, Model-Agnostic</t>
  </si>
  <si>
    <t>User experiment datasets</t>
  </si>
  <si>
    <t>Confidence score, task accuracy</t>
  </si>
  <si>
    <t>Studies how different XAI transparency levels affect user confidence in AI systems</t>
  </si>
  <si>
    <t>Limited sample size; single-context experiment</t>
  </si>
  <si>
    <t>Cited for XAI confidence effects discussion</t>
  </si>
  <si>
    <t>The PRISMA 2020 Statement: An Updated Guideline for Reporting Systematic Reviews</t>
  </si>
  <si>
    <t>Page et al.</t>
  </si>
  <si>
    <t>BMJ</t>
  </si>
  <si>
    <t>PRISMA checklist</t>
  </si>
  <si>
    <t>Systematic review literature</t>
  </si>
  <si>
    <t>PRISMA item compliance</t>
  </si>
  <si>
    <t>Updated PRISMA 2020 guidelines for transparent systematic review reporting</t>
  </si>
  <si>
    <t>Methodological guideline only; not an empirical AI study</t>
  </si>
  <si>
    <t>Core methodology reference for review protocol</t>
  </si>
  <si>
    <t>The Measurement of Observer Agreement for Categorical Data</t>
  </si>
  <si>
    <t>Landis &amp; Koch</t>
  </si>
  <si>
    <t>Biometrics</t>
  </si>
  <si>
    <t>Cohen's kappa coefficient</t>
  </si>
  <si>
    <t>Categorical agreement data</t>
  </si>
  <si>
    <t>Kappa coefficient, agreement scale</t>
  </si>
  <si>
    <t>Establishes kappa interpretation scale for inter-rater agreement measurement</t>
  </si>
  <si>
    <t>Kappa can be misleading with imbalanced categories</t>
  </si>
  <si>
    <t>Referenced for inter-rater agreement in PRISMA screening</t>
  </si>
  <si>
    <t>Pattern Recognition and Machine Learning</t>
  </si>
  <si>
    <t>Bishop</t>
  </si>
  <si>
    <t>Springer (Book)</t>
  </si>
  <si>
    <t>Probabilistic graphical models, SVM, neural nets</t>
  </si>
  <si>
    <t>Probabilistic inference</t>
  </si>
  <si>
    <t>Bayesian model evidence, accuracy</t>
  </si>
  <si>
    <t>Comprehensive probabilistic framework for ML; covers Bayesian, kernel, and neural methods</t>
  </si>
  <si>
    <t>Does not cover deep learning advances post-2006</t>
  </si>
  <si>
    <t>Foundational ML textbook reference</t>
  </si>
  <si>
    <t>Deep Learning</t>
  </si>
  <si>
    <t>Goodfellow, Bengio &amp; Courville</t>
  </si>
  <si>
    <t>MIT Press (Book)</t>
  </si>
  <si>
    <t>CNN, RNN, GAN, autoencoder</t>
  </si>
  <si>
    <t>Gradient-based methods</t>
  </si>
  <si>
    <t>MNIST, CIFAR, ImageNet</t>
  </si>
  <si>
    <t>Accuracy, perplexity</t>
  </si>
  <si>
    <t>Comprehensive deep learning textbook covering architectures, optimisation, and regularisation</t>
  </si>
  <si>
    <t>Does not address XAI explicitly; predates transformers</t>
  </si>
  <si>
    <t>Core DL textbook reference</t>
  </si>
  <si>
    <t>The Elements of Statistical Learning</t>
  </si>
  <si>
    <t>Hastie, Tibshirani &amp; Friedman</t>
  </si>
  <si>
    <t>Linear models, trees, SVMs, boosting</t>
  </si>
  <si>
    <t>PDP, variable importance</t>
  </si>
  <si>
    <t>Standard statistical datasets</t>
  </si>
  <si>
    <t>Prediction error, cross-validation</t>
  </si>
  <si>
    <t>Comprehensive statistical learning textbook; introduces PDP and importance-based interpretability</t>
  </si>
  <si>
    <t>Predates deep learning and modern XAI methods</t>
  </si>
  <si>
    <t>Core statistical learning textbook reference</t>
  </si>
  <si>
    <t>Support-Vector Networks</t>
  </si>
  <si>
    <t>Cortes &amp; Vapnik</t>
  </si>
  <si>
    <t>Support Vector Machine (SVM)</t>
  </si>
  <si>
    <t>Margin and support vector inspection</t>
  </si>
  <si>
    <t>UCI binary classification datasets</t>
  </si>
  <si>
    <t>Classification accuracy, margin width</t>
  </si>
  <si>
    <t>Introduces SVMs with kernel trick; foundational discriminative classifier with geometric interpretability</t>
  </si>
  <si>
    <t>Black-box with complex kernels; limited interpretability for high-dimensional inputs</t>
  </si>
  <si>
    <t>Foundational ML model cited in background section</t>
  </si>
  <si>
    <t>Random Forests</t>
  </si>
  <si>
    <t>Breiman</t>
  </si>
  <si>
    <t>Random Forest</t>
  </si>
  <si>
    <t>Feature importance (Gini, permutation)</t>
  </si>
  <si>
    <t>UCI datasets</t>
  </si>
  <si>
    <t>OOB error, accuracy, feature importance</t>
  </si>
  <si>
    <t>Introduces Random Forest with feature importance as built-in interpretability signal</t>
  </si>
  <si>
    <t>Ensemble structure reduces individual-tree transparency</t>
  </si>
  <si>
    <t>Most common ensemble model in XAI domain studies</t>
  </si>
  <si>
    <t>XGBoost: A Scalable Tree Boosting System</t>
  </si>
  <si>
    <t>Chen &amp; Guestrin</t>
  </si>
  <si>
    <t>XGBoost</t>
  </si>
  <si>
    <t>SHAP (TreeSHAP), feature importance</t>
  </si>
  <si>
    <t>UCI, Higgs boson dataset</t>
  </si>
  <si>
    <t>Accuracy, training speed, AUC</t>
  </si>
  <si>
    <t>F, Cost</t>
  </si>
  <si>
    <t>Scalable gradient boosting with regularisation; widely used with TreeSHAP for XAI</t>
  </si>
  <si>
    <t>Ensemble opacity despite feature importance; requires TreeSHAP for local explanations</t>
  </si>
  <si>
    <t>Most common ML model in healthcare and finance XAI studies</t>
  </si>
  <si>
    <t>LightGBM: A Highly Efficient Gradient Boosting Decision Tree</t>
  </si>
  <si>
    <t>Ke et al.</t>
  </si>
  <si>
    <t>LightGBM</t>
  </si>
  <si>
    <t>UCI, large-scale tabular datasets</t>
  </si>
  <si>
    <t>Accuracy, memory, training speed</t>
  </si>
  <si>
    <t>Histogram-based gradient boosting with leaf-wise growth; faster than XGBoost</t>
  </si>
  <si>
    <t>Same ensemble opacity as XGBoost; requires post-hoc XAI</t>
  </si>
  <si>
    <t>Widely used in healthcare and finance tabular data tasks</t>
  </si>
  <si>
    <t>CatBoost: Gradient Boosting with Categorical Features Support</t>
  </si>
  <si>
    <t>Dorogush et al.</t>
  </si>
  <si>
    <t>CatBoost</t>
  </si>
  <si>
    <t>Feature importance, SHAP</t>
  </si>
  <si>
    <t>Categorical tabular datasets</t>
  </si>
  <si>
    <t>Accuracy, logloss, AUC</t>
  </si>
  <si>
    <t>Gradient boosting with native categorical encoding; reduces preprocessing overhead</t>
  </si>
  <si>
    <t>Less widely studied in XAI literature than XGBoost/LightGBM</t>
  </si>
  <si>
    <t>Cited in background section on ensemble methods</t>
  </si>
  <si>
    <t>A Decision-Theoretic Generalization of On-Line Learning and an Application to Boosting</t>
  </si>
  <si>
    <t>Freund &amp; Schapire</t>
  </si>
  <si>
    <t>Journal of Computer and System Sciences</t>
  </si>
  <si>
    <t>AdaBoost</t>
  </si>
  <si>
    <t>Weighted ensemble decision rules</t>
  </si>
  <si>
    <t>Binary classification benchmarks</t>
  </si>
  <si>
    <t>Classification error, margin</t>
  </si>
  <si>
    <t>Introduces boosting; foundational ensemble theory underlying XGBoost and LightGBM</t>
  </si>
  <si>
    <t>Original boosting sensitive to noisy data and outliers</t>
  </si>
  <si>
    <t>Foundational boosting theory reference</t>
  </si>
  <si>
    <t>Bagging Predictors</t>
  </si>
  <si>
    <t>Bagged decision trees</t>
  </si>
  <si>
    <t>Variance reduction, OOB error</t>
  </si>
  <si>
    <t>UCI classification and regression datasets</t>
  </si>
  <si>
    <t>Bias-variance decomposition, accuracy</t>
  </si>
  <si>
    <t>Introduces bootstrap aggregation (bagging); reduces variance and forms basis of Random Forest</t>
  </si>
  <si>
    <t>Does not directly address interpretability of bagged ensembles</t>
  </si>
  <si>
    <t>Foundational ensemble theory reference</t>
  </si>
  <si>
    <t>Ensemble Methods in Machine Learning</t>
  </si>
  <si>
    <t>Dietterich</t>
  </si>
  <si>
    <t>Multiple Classifier Systems (Springer)</t>
  </si>
  <si>
    <t>Boosting, Bagging, Randomisation</t>
  </si>
  <si>
    <t>Diversity analysis</t>
  </si>
  <si>
    <t>Standard ML benchmarks</t>
  </si>
  <si>
    <t>Error rate, diversity measures</t>
  </si>
  <si>
    <t>Surveys ensemble combination strategies; analyses why ensembles outperform individual learners</t>
  </si>
  <si>
    <t>Conceptual overview; does not address modern deep ensemble XAI</t>
  </si>
  <si>
    <t>Foundational ensemble combination theory</t>
  </si>
  <si>
    <t>Ridge Regression: Biased Estimation for Nonorthogonal Problems</t>
  </si>
  <si>
    <t>Hoerl &amp; Kennard</t>
  </si>
  <si>
    <t>Technometrics</t>
  </si>
  <si>
    <t>Healthcare, Finance</t>
  </si>
  <si>
    <t>Ridge Regression</t>
  </si>
  <si>
    <t>Coefficient inspection</t>
  </si>
  <si>
    <t>Collinear regression datasets</t>
  </si>
  <si>
    <t>MSE, prediction accuracy</t>
  </si>
  <si>
    <t>Introduces L2 regularisation for linear regression; coefficient shrinkage as interpretability signal</t>
  </si>
  <si>
    <t>Biased estimator; does not produce sparse solutions</t>
  </si>
  <si>
    <t>Foundational regularised regression reference</t>
  </si>
  <si>
    <t>Regression Shrinkage and Selection via the Lasso</t>
  </si>
  <si>
    <t>Tibshirani</t>
  </si>
  <si>
    <t>Journal of the Royal Statistical Society: Series B</t>
  </si>
  <si>
    <t>Lasso Regression</t>
  </si>
  <si>
    <t>Sparse coefficient inspection</t>
  </si>
  <si>
    <t>Regression benchmark datasets</t>
  </si>
  <si>
    <t>MSE, variable selection accuracy</t>
  </si>
  <si>
    <t>Introduces L1 regularisation producing sparse models; feature selection as interpretability mechanism</t>
  </si>
  <si>
    <t>Not suitable for correlated features (group selection issue)</t>
  </si>
  <si>
    <t>Foundational sparse regression reference</t>
  </si>
  <si>
    <t>Regularization and Variable Selection via the Elastic Net</t>
  </si>
  <si>
    <t>Zou &amp; Hastie</t>
  </si>
  <si>
    <t>Elastic Net Regression</t>
  </si>
  <si>
    <t>Genomic and standard datasets</t>
  </si>
  <si>
    <t>MSE, prediction accuracy, sparsity</t>
  </si>
  <si>
    <t>Combines L1 and L2 regularisation; handles correlated features better than Lasso</t>
  </si>
  <si>
    <t>Requires tuning two hyperparameters simultaneously</t>
  </si>
  <si>
    <t>Cited for high-dimensional genomics and finance applications</t>
  </si>
  <si>
    <t>Probabilistic Reasoning in Intelligent Systems: Networks of Plausible Inference</t>
  </si>
  <si>
    <t>Pearl</t>
  </si>
  <si>
    <t>Morgan Kaufmann (Book)</t>
  </si>
  <si>
    <t>Healthcare, Agentic AI</t>
  </si>
  <si>
    <t>Bayesian Networks</t>
  </si>
  <si>
    <t>Probabilistic graphical model inference</t>
  </si>
  <si>
    <t>Probabilistic reasoning benchmarks</t>
  </si>
  <si>
    <t>Causal inference accuracy, conditional probability</t>
  </si>
  <si>
    <t>Introduces Bayesian networks and probabilistic causal inference; foundational for causal XAI</t>
  </si>
  <si>
    <t>Computationally expensive for dense graphs; requires prior specification</t>
  </si>
  <si>
    <t>Foundational causal reasoning reference</t>
  </si>
  <si>
    <t>Q-Learning</t>
  </si>
  <si>
    <t>Watkins &amp; Dayan</t>
  </si>
  <si>
    <t>Robotics, Agentic AI</t>
  </si>
  <si>
    <t>RL</t>
  </si>
  <si>
    <t>Q-learning agent</t>
  </si>
  <si>
    <t>Policy inspection, value function analysis</t>
  </si>
  <si>
    <t>Grid-world, tabular RL environments</t>
  </si>
  <si>
    <t>Convergence rate, cumulative reward</t>
  </si>
  <si>
    <t>Introduces model-free Q-learning algorithm; foundational RL method for robotic control</t>
  </si>
  <si>
    <t>Does not scale to large state spaces without function approximation</t>
  </si>
  <si>
    <t>Foundational RL algorithm reference</t>
  </si>
  <si>
    <t>Human-Level Control Through Deep Reinforcement Learning</t>
  </si>
  <si>
    <t>Mnih et al.</t>
  </si>
  <si>
    <t>Nature</t>
  </si>
  <si>
    <t>DL/RL</t>
  </si>
  <si>
    <t>Deep Q-Network (DQN)</t>
  </si>
  <si>
    <t>Saliency maps, value function visualisation</t>
  </si>
  <si>
    <t>Atari 2600 game benchmark</t>
  </si>
  <si>
    <t>Game score, human-normalised performance</t>
  </si>
  <si>
    <t>Demonstrates DQN achieving human-level game play; foundational for deep RL and robotic control</t>
  </si>
  <si>
    <t>Black-box policy; saliency maps provide limited causal insight</t>
  </si>
  <si>
    <t>Foundational deep RL reference for robotics and agentic sections</t>
  </si>
  <si>
    <t>Reinforcement Learning: An Introduction</t>
  </si>
  <si>
    <t>Sutton &amp; Barto</t>
  </si>
  <si>
    <t>Q-learning, Policy Gradient, Actor-Critic</t>
  </si>
  <si>
    <t>Policy graphs, value function inspection</t>
  </si>
  <si>
    <t>Standard RL benchmark environments</t>
  </si>
  <si>
    <t>Cumulative reward, convergence</t>
  </si>
  <si>
    <t>Comprehensive RL textbook covering value-based, policy-based, and model-based methods</t>
  </si>
  <si>
    <t>Does not address XAI for RL policies specifically</t>
  </si>
  <si>
    <t>Definitive RL reference cited for robotic control interpretability</t>
  </si>
  <si>
    <t>Policy Gradient Methods for Reinforcement Learning with Function Approximation</t>
  </si>
  <si>
    <t>Sutton et al.</t>
  </si>
  <si>
    <t>Policy gradient agents</t>
  </si>
  <si>
    <t>Policy parameter inspection</t>
  </si>
  <si>
    <t>Continuous control environments</t>
  </si>
  <si>
    <t>Cumulative reward, policy variance</t>
  </si>
  <si>
    <t>Introduces policy gradient theorem; foundational for PPO, A3C and modern deep RL</t>
  </si>
  <si>
    <t>High variance; requires many samples for convergence</t>
  </si>
  <si>
    <t>Foundational policy gradient reference</t>
  </si>
  <si>
    <t>Actor-Critic Algorithms</t>
  </si>
  <si>
    <t>Konda &amp; Tsitsiklis</t>
  </si>
  <si>
    <t>Actor-Critic agent</t>
  </si>
  <si>
    <t>Value function and policy decomposition</t>
  </si>
  <si>
    <t>Standard RL environments</t>
  </si>
  <si>
    <t>Convergence, reward, variance</t>
  </si>
  <si>
    <t>Introduces actor-critic architecture combining value estimation with policy optimisation</t>
  </si>
  <si>
    <t>Two-timescale convergence is complex to tune</t>
  </si>
  <si>
    <t>Foundational actor-critic reference for robotic RL interpretability</t>
  </si>
  <si>
    <t>Gradient-Based Learning Applied to Document Recognition (LeNet)</t>
  </si>
  <si>
    <t>LeCun et al.</t>
  </si>
  <si>
    <t>Proceedings of the IEEE</t>
  </si>
  <si>
    <t>LeNet (CNN)</t>
  </si>
  <si>
    <t>Saliency maps, feature visualisation</t>
  </si>
  <si>
    <t>MNIST handwritten digits</t>
  </si>
  <si>
    <t>Error rate, accuracy</t>
  </si>
  <si>
    <t>Introduces convolutional neural networks with backpropagation; foundational DL architecture</t>
  </si>
  <si>
    <t>Limited to small images; shallow by modern standards</t>
  </si>
  <si>
    <t>Foundational CNN reference</t>
  </si>
  <si>
    <t>Going Deeper with Convolutions (GoogLeNet/Inception)</t>
  </si>
  <si>
    <t>Szegedy et al.</t>
  </si>
  <si>
    <t>CVPR</t>
  </si>
  <si>
    <t>GoogLeNet (Inception)</t>
  </si>
  <si>
    <t>Grad-CAM, activation visualisation</t>
  </si>
  <si>
    <t>ImageNet</t>
  </si>
  <si>
    <t>Top-1/Top-5 accuracy</t>
  </si>
  <si>
    <t>Introduces Inception module with multi-scale convolutions; efficient deep architecture</t>
  </si>
  <si>
    <t>Complex architecture; harder to interpret than simpler CNNs</t>
  </si>
  <si>
    <t>Cited in CNN evolution discussion</t>
  </si>
  <si>
    <t>Finding Structure in Time (Elman RNN)</t>
  </si>
  <si>
    <t>Elman</t>
  </si>
  <si>
    <t>Cognitive Science</t>
  </si>
  <si>
    <t>Simple RNN (Elman network)</t>
  </si>
  <si>
    <t>Hidden state analysis</t>
  </si>
  <si>
    <t>Language and temporal datasets</t>
  </si>
  <si>
    <t>Prediction accuracy, generalisation</t>
  </si>
  <si>
    <t>Introduces recurrent network architecture for sequential data; foundational for LSTM and GRU</t>
  </si>
  <si>
    <t>Vanishing gradient problem; superseded by LSTM/GRU for long sequences</t>
  </si>
  <si>
    <t>Foundational RNN reference in DL background</t>
  </si>
  <si>
    <t>Long Short-Term Memory</t>
  </si>
  <si>
    <t>Hochreiter &amp; Schmidhuber</t>
  </si>
  <si>
    <t>Neural Computation</t>
  </si>
  <si>
    <t>LSTM</t>
  </si>
  <si>
    <t>Attention, gate analysis</t>
  </si>
  <si>
    <t>Sequential temporal datasets</t>
  </si>
  <si>
    <t>Sequence accuracy, perplexity</t>
  </si>
  <si>
    <t>Introduces LSTM with gating mechanisms resolving vanishing gradient; dominant sequence model</t>
  </si>
  <si>
    <t>Computationally expensive; attention explanation caveat applies</t>
  </si>
  <si>
    <t>Foundational LSTM reference; widely used in clinical and financial time-series</t>
  </si>
  <si>
    <t>Learning Phrase Representations Using RNN Encoder-Decoder (GRU)</t>
  </si>
  <si>
    <t>Cho et al.</t>
  </si>
  <si>
    <t>EMNLP</t>
  </si>
  <si>
    <t>GRU, RNN encoder-decoder</t>
  </si>
  <si>
    <t>Attention weight analysis</t>
  </si>
  <si>
    <t>Machine translation datasets</t>
  </si>
  <si>
    <t>BLEU score, sequence accuracy</t>
  </si>
  <si>
    <t>Introduces GRU as efficient alternative to LSTM; introduces encoder-decoder framework</t>
  </si>
  <si>
    <t>Attention explanation caveat from Jain &amp; Wallace 2019 applies</t>
  </si>
  <si>
    <t>Foundational GRU reference</t>
  </si>
  <si>
    <t>Deep Residual Learning for Image Recognition (ResNet)</t>
  </si>
  <si>
    <t>He et al.</t>
  </si>
  <si>
    <t>ResNet (ResNet-50, ResNet-101)</t>
  </si>
  <si>
    <t>Grad-CAM, LRP, saliency maps</t>
  </si>
  <si>
    <t>Introduces residual connections resolving vanishing gradient for very deep networks</t>
  </si>
  <si>
    <t>Residual structure makes layer-wise attribution complex</t>
  </si>
  <si>
    <t>Most widely used backbone in medical imaging XAI</t>
  </si>
  <si>
    <t>Densely Connected Convolutional Networks (DenseNet)</t>
  </si>
  <si>
    <t>Huang et al.</t>
  </si>
  <si>
    <t>DenseNet</t>
  </si>
  <si>
    <t>Grad-CAM, feature map visualisation</t>
  </si>
  <si>
    <t>ImageNet, CIFAR</t>
  </si>
  <si>
    <t>Top-1 accuracy, parameter efficiency</t>
  </si>
  <si>
    <t>Introduces dense connections between all layers; improves gradient flow and feature reuse</t>
  </si>
  <si>
    <t>Dense connectivity increases memory footprint</t>
  </si>
  <si>
    <t>Used in medical imaging; gradient flow aids Grad-CAM attribution</t>
  </si>
  <si>
    <t>Learning Representations by Back-propagating Errors</t>
  </si>
  <si>
    <t>Rumelhart, Hinton &amp; Williams</t>
  </si>
  <si>
    <t>Multilayer Perceptron (MLP)</t>
  </si>
  <si>
    <t>Gradient inspection</t>
  </si>
  <si>
    <t>XOR, encoder-decoder toy tasks</t>
  </si>
  <si>
    <t>Convergence, representation quality</t>
  </si>
  <si>
    <t>Introduces backpropagation for training multilayer neural networks; foundational for all modern DL</t>
  </si>
  <si>
    <t>Does not address interpretability; gradient signals alone insufficient for explanation</t>
  </si>
  <si>
    <t>Cited for DL foundations underpinning gradient-based XAI methods</t>
  </si>
  <si>
    <t>ImageNet Classification with Deep Convolutional Neural Networks (AlexNet)</t>
  </si>
  <si>
    <t>Krizhevsky, Sutskever &amp; Hinton</t>
  </si>
  <si>
    <t>AlexNet (CNN)</t>
  </si>
  <si>
    <t>Feature visualisation, activation maps</t>
  </si>
  <si>
    <t>ImageNet (1.2M images, 1000 classes)</t>
  </si>
  <si>
    <t>Demonstrates GPU-trained deep CNN achieving state-of-the-art ImageNet classification; launches modern DL era</t>
  </si>
  <si>
    <t>Architecture opacity; early XAI methods (saliency) applied retrospectively</t>
  </si>
  <si>
    <t>Landmark DL paper cited for context of CNN-based XAI challenge</t>
  </si>
  <si>
    <t>Auto-encoding Variational Bayes (VAE)</t>
  </si>
  <si>
    <t>Kingma &amp; Welling</t>
  </si>
  <si>
    <t>ICLR</t>
  </si>
  <si>
    <t>Healthcare, Cybersecurity</t>
  </si>
  <si>
    <t>Variational Autoencoder (VAE)</t>
  </si>
  <si>
    <t>Latent space visualisation, disentanglement</t>
  </si>
  <si>
    <t>MNIST, Frey Face</t>
  </si>
  <si>
    <t>ELBO, reconstruction quality, FID</t>
  </si>
  <si>
    <t>Introduces VAE with reparameterisation trick; enables structured latent space for generative modelling</t>
  </si>
  <si>
    <t>Latent space disentanglement not guaranteed; explanation of latent dimensions is challenging</t>
  </si>
  <si>
    <t>Cited for generative architectures relevant to XAI via anomaly detection and counterfactuals</t>
  </si>
  <si>
    <t>Generative Adversarial Nets (GAN)</t>
  </si>
  <si>
    <t>Goodfellow et al.</t>
  </si>
  <si>
    <t>GAN (Generator + Discriminator)</t>
  </si>
  <si>
    <t>Discriminator attribution, latent traversal</t>
  </si>
  <si>
    <t>MNIST, TFD datasets</t>
  </si>
  <si>
    <t>Inception score, visual quality</t>
  </si>
  <si>
    <t>Introduces adversarial training framework for generative modelling; enables counterfactual data synthesis</t>
  </si>
  <si>
    <t>Training instability; mode collapse; discriminator provides limited explanation</t>
  </si>
  <si>
    <t>Cited for generative architectures enabling counterfactual XAI</t>
  </si>
  <si>
    <t>Attention Is All You Need (Transformer)</t>
  </si>
  <si>
    <t>Vaswani et al.</t>
  </si>
  <si>
    <t>DL/LLM</t>
  </si>
  <si>
    <t>Transformer (self-attention)</t>
  </si>
  <si>
    <t>WMT translation benchmarks</t>
  </si>
  <si>
    <t>BLEU score, perplexity</t>
  </si>
  <si>
    <t>Introduces scaled dot-product self-attention; replaces RNNs as dominant sequence architecture</t>
  </si>
  <si>
    <t>Attention weights not reliably faithful (per Jain &amp; Wallace 2019); quadratic complexity</t>
  </si>
  <si>
    <t>Foundational transformer reference; backbone for BERT, GPT, ViT</t>
  </si>
  <si>
    <t>BERT: Pre-training of Deep Bidirectional Transformers for Language Understanding</t>
  </si>
  <si>
    <t>Devlin et al.</t>
  </si>
  <si>
    <t>NAACL</t>
  </si>
  <si>
    <t>Healthcare, Finance, Agentic AI</t>
  </si>
  <si>
    <t>LLM</t>
  </si>
  <si>
    <t>BERT</t>
  </si>
  <si>
    <t>Attention analysis, probing classifiers, integrated gradients</t>
  </si>
  <si>
    <t>GLUE, SQuAD, NER benchmarks</t>
  </si>
  <si>
    <t>F1, accuracy, GLUE score</t>
  </si>
  <si>
    <t>Introduces masked language modelling and next sentence prediction; bidirectional contextual embeddings</t>
  </si>
  <si>
    <t>Attention explanations limited in faithfulness; large model size</t>
  </si>
  <si>
    <t>Dominant NLP backbone cited across all domain sections</t>
  </si>
  <si>
    <t>An Image is Worth 16x16 Words: Transformers for Image Recognition at Scale (ViT)</t>
  </si>
  <si>
    <t>Dosovitskiy et al.</t>
  </si>
  <si>
    <t>Vision Transformer (ViT)</t>
  </si>
  <si>
    <t>Attention rollout, Grad-CAM for ViT</t>
  </si>
  <si>
    <t>ImageNet-21k, JFT-300M</t>
  </si>
  <si>
    <t>Top-1 accuracy</t>
  </si>
  <si>
    <t>Applies pure transformer to image patches; achieves state-of-the-art with large pretraining data</t>
  </si>
  <si>
    <t>Requires very large datasets; attention rollout less intuitive than Grad-CAM for images</t>
  </si>
  <si>
    <t>Cited for vision transformers in medical imaging and robotic perception</t>
  </si>
  <si>
    <t>Attention is not Explanation</t>
  </si>
  <si>
    <t>Jain &amp; Wallace</t>
  </si>
  <si>
    <t>NAACL-HLT</t>
  </si>
  <si>
    <t>LLM/DL</t>
  </si>
  <si>
    <t>LSTM, attention-based models</t>
  </si>
  <si>
    <t>Attention weight analysis (critique)</t>
  </si>
  <si>
    <t>Text classification, NLI datasets</t>
  </si>
  <si>
    <t>Attention-output correlation, counterfactual flip test</t>
  </si>
  <si>
    <t>F, S</t>
  </si>
  <si>
    <t>Demonstrates that attention weights do not reliably indicate feature importance or causal relevance</t>
  </si>
  <si>
    <t>Results may not generalise to all attention architectures</t>
  </si>
  <si>
    <t>Critical caveat cited throughout paper for all attention-based XAI claims</t>
  </si>
  <si>
    <t>Improving Language Understanding by Generative Pre-training (GPT-2)</t>
  </si>
  <si>
    <t>Radford et al.</t>
  </si>
  <si>
    <t>OpenAI Blog</t>
  </si>
  <si>
    <t>Agentic AI, Finance</t>
  </si>
  <si>
    <t>GPT-2</t>
  </si>
  <si>
    <t>Attention analysis, text generation inspection</t>
  </si>
  <si>
    <t>WebText, language modelling benchmarks</t>
  </si>
  <si>
    <t>Perplexity, downstream task accuracy</t>
  </si>
  <si>
    <t>Introduces autoregressive language model pretraining; demonstrates strong zero-shot transfer</t>
  </si>
  <si>
    <t>Unidirectional context; explanations of generation process poorly understood</t>
  </si>
  <si>
    <t>Foundational GPT reference cited for LLM evolution background</t>
  </si>
  <si>
    <t>Language Models are Few-Shot Learners (GPT-3)</t>
  </si>
  <si>
    <t>Brown et al.</t>
  </si>
  <si>
    <t>GPT-3 (175B parameters)</t>
  </si>
  <si>
    <t>In-context learning analysis, attention</t>
  </si>
  <si>
    <t>SuperGLUE, StoryCloze, TriviaQA</t>
  </si>
  <si>
    <t>Accuracy, few-shot performance</t>
  </si>
  <si>
    <t>Demonstrates emergent few-shot capabilities in very large LLMs via in-context learning</t>
  </si>
  <si>
    <t>Black-box reasoning; in-context explanation faithfulness unverified; very high compute cost</t>
  </si>
  <si>
    <t>Key LLM reference for agentic AI explainability context</t>
  </si>
  <si>
    <t>Learning Transferable Visual Models From Natural Language Supervision (CLIP)</t>
  </si>
  <si>
    <t>ICML</t>
  </si>
  <si>
    <t>CLIP (ViT + text encoder)</t>
  </si>
  <si>
    <t>Cross-modal saliency, GradCAM-on-CLIP</t>
  </si>
  <si>
    <t>400M image-text pairs (WebImageText)</t>
  </si>
  <si>
    <t>Zero-shot ImageNet accuracy</t>
  </si>
  <si>
    <t>Contrastive pretraining aligns image and text embeddings; enables zero-shot visual recognition</t>
  </si>
  <si>
    <t>Cross-modal attribution is underdeveloped; explanations must span both modalities</t>
  </si>
  <si>
    <t>Cited for multimodal XAI challenge in robotics and agentic sections</t>
  </si>
  <si>
    <t>Flamingo: A Visual Language Model for Few-Shot Learning</t>
  </si>
  <si>
    <t>Alayrac et al.</t>
  </si>
  <si>
    <t>Flamingo (visual LLM)</t>
  </si>
  <si>
    <t>Attention cross-modal analysis</t>
  </si>
  <si>
    <t>MSCOCO, VQA, Flickr30k</t>
  </si>
  <si>
    <t>VQA accuracy, CIDEr score</t>
  </si>
  <si>
    <t>Interleaves visual and text tokens for few-shot multimodal understanding; bridges vision and LLM</t>
  </si>
  <si>
    <t>Faithfulness of cross-modal attention unverified; computationally expensive</t>
  </si>
  <si>
    <t>Cited for multimodal architecture section</t>
  </si>
  <si>
    <t>FLAVA: A Foundational Language and Vision Alignment Model</t>
  </si>
  <si>
    <t>Singh et al.</t>
  </si>
  <si>
    <t>FLAVA</t>
  </si>
  <si>
    <t>Attention, embedding visualisation</t>
  </si>
  <si>
    <t>ImageNet, MSCOCO, STS-B</t>
  </si>
  <si>
    <t>Zero-shot accuracy, alignment score</t>
  </si>
  <si>
    <t>Unified vision-language model trained on both unimodal and multimodal objectives</t>
  </si>
  <si>
    <t>Explanation across modalities lacks standardised evaluation</t>
  </si>
  <si>
    <t>Cited in multimodal architecture background section</t>
  </si>
  <si>
    <t>ViLBERT: Pretraining Task-Agnostic Visiolinguistic Representations</t>
  </si>
  <si>
    <t>Lu et al.</t>
  </si>
  <si>
    <t>ViLBERT</t>
  </si>
  <si>
    <t>Co-attention analysis</t>
  </si>
  <si>
    <t>Conceptual Captions, VQA, RefCOCO+</t>
  </si>
  <si>
    <t>VQA accuracy, visual grounding</t>
  </si>
  <si>
    <t>Introduces dual-stream co-attention for vision-language pre-training; task-agnostic visiolinguistic</t>
  </si>
  <si>
    <t>Co-attention explanations share Jain &amp; Wallace faithfulness caveat</t>
  </si>
  <si>
    <t>A Generalist Agent (Gato)</t>
  </si>
  <si>
    <t>Reed et al.</t>
  </si>
  <si>
    <t>Gato (multi-modal, multi-task)</t>
  </si>
  <si>
    <t>Policy inspection, attention analysis</t>
  </si>
  <si>
    <t>600+ tasks (Atari, robotics, NLP, vision)</t>
  </si>
  <si>
    <t>Task performance per domain, generalisation</t>
  </si>
  <si>
    <t>Single transformer agent handling diverse tasks across modalities; first generalist agentic architecture</t>
  </si>
  <si>
    <t>Explainability of cross-task generalisation is essentially unaddressed</t>
  </si>
  <si>
    <t>Cited for generalist agentic architecture and XAI challenge</t>
  </si>
  <si>
    <t>Perceiver IO: A General Architecture for Structured Inputs &amp; Outputs</t>
  </si>
  <si>
    <t>Jaegle et al.</t>
  </si>
  <si>
    <t>Perceiver IO</t>
  </si>
  <si>
    <t>Latent array attention analysis</t>
  </si>
  <si>
    <t>ImageNet, GLUE, Sintel optical flow</t>
  </si>
  <si>
    <t>Task accuracy, latency</t>
  </si>
  <si>
    <t>General-purpose transformer architecture for arbitrary input/output structure via latent array</t>
  </si>
  <si>
    <t>Cross-modal explanation across arbitrary I/O not yet addressed</t>
  </si>
  <si>
    <t>Cited in multimodal architecture section</t>
  </si>
  <si>
    <t>Do As I Can, Not As I Say: Grounding Language in Robotic Affordances (SayCan)</t>
  </si>
  <si>
    <t>Ahn et al.</t>
  </si>
  <si>
    <t>SayCan (LLM + affordance model)</t>
  </si>
  <si>
    <t>Affordance scoring, language grounding</t>
  </si>
  <si>
    <t>Real-world household robot tasks</t>
  </si>
  <si>
    <t>Task success rate, instruction following</t>
  </si>
  <si>
    <t>Grounds LLM task planning in physical affordances; enables executable instruction following for robots</t>
  </si>
  <si>
    <t>XAI for affordance-language grounding is nascent; explanation of failure modes limited</t>
  </si>
  <si>
    <t>Cited for robotics-specific multimodal grounding</t>
  </si>
  <si>
    <t>PaLM-E: An Embodied Multimodal Language Model</t>
  </si>
  <si>
    <t>Driess et al.</t>
  </si>
  <si>
    <t>arXiv / preprint</t>
  </si>
  <si>
    <t>PaLM-E (562B param embodied LLM)</t>
  </si>
  <si>
    <t>Attention, embodied reasoning trace</t>
  </si>
  <si>
    <t>Robot manipulation benchmarks, VQA</t>
  </si>
  <si>
    <t>Task success rate, VQA accuracy</t>
  </si>
  <si>
    <t>Integrates continuous sensor modalities into LLM for embodied reasoning; largest embodied LLM</t>
  </si>
  <si>
    <t>Extremely high compute cost; explanation of sensor-language grounding underdeveloped</t>
  </si>
  <si>
    <t>Cited for multimodal robotics and agentic AI sections</t>
  </si>
  <si>
    <t>RT-2: Vision-Language-Action Models Transfer Web Knowledge to Robotic Control</t>
  </si>
  <si>
    <t>Zitkovich et al.</t>
  </si>
  <si>
    <t>CoRL</t>
  </si>
  <si>
    <t>RT-2 (VLA model)</t>
  </si>
  <si>
    <t>Attention, action token inspection</t>
  </si>
  <si>
    <t>Real-world robot manipulation tasks</t>
  </si>
  <si>
    <t>Task success rate, generalisation to novel objects</t>
  </si>
  <si>
    <t>Co-trains vision-language and robotic action models; transfers internet knowledge to robot actions</t>
  </si>
  <si>
    <t>Action token explanations not standardised; latency in real-time deployment</t>
  </si>
  <si>
    <t>Cited for vision-language-action models in robotics section</t>
  </si>
  <si>
    <t>VIMA: Robot Manipulation with Multimodal Prompts</t>
  </si>
  <si>
    <t>Jiang et al.</t>
  </si>
  <si>
    <t>VIMA (multimodal prompt transformer)</t>
  </si>
  <si>
    <t>Attention, prompt importance</t>
  </si>
  <si>
    <t>Tabletop manipulation benchmark (17 tasks)</t>
  </si>
  <si>
    <t>Task success rate, generalisation level</t>
  </si>
  <si>
    <t>Introduces multimodal prompts (image+text) for robot manipulation; systematic generalisation evaluation</t>
  </si>
  <si>
    <t>Explanation of prompt-action mapping is limited; no user study</t>
  </si>
  <si>
    <t>Cited for multimodal robotic manipulation</t>
  </si>
  <si>
    <t>Grounded: Learning to Walk with Language</t>
  </si>
  <si>
    <t>Language-conditioned locomotion model</t>
  </si>
  <si>
    <t>Language grounding analysis</t>
  </si>
  <si>
    <t>Locomotion simulation environments</t>
  </si>
  <si>
    <t>Task success rate, language instruction accuracy</t>
  </si>
  <si>
    <t>Grounds natural language instructions in legged locomotion control policies</t>
  </si>
  <si>
    <t>Limited XAI analysis; explanation of language-policy mapping not addressed</t>
  </si>
  <si>
    <t>Cited for language-grounded robotic locomotion</t>
  </si>
  <si>
    <t>Explainable Artificial Intelligence: Importance, Use Domains, Stages, Output Shapes, and Challenges</t>
  </si>
  <si>
    <t>Ullah et al.</t>
  </si>
  <si>
    <t>ACM Computing Surveys</t>
  </si>
  <si>
    <t>SHAP, LIME, Grad-CAM, LRP, counterfactuals</t>
  </si>
  <si>
    <t>Multi-domain survey literature</t>
  </si>
  <si>
    <t>Qualitative taxonomy, coverage analysis</t>
  </si>
  <si>
    <t>Comprehensive survey categorising XAI by domain, stage of AI pipeline, and output type</t>
  </si>
  <si>
    <t>Cited in XAI techniques section introduction</t>
  </si>
  <si>
    <t>Explaining Explanations: An Overview of Interpretability of Machine Learning</t>
  </si>
  <si>
    <t>Gilpin et al.</t>
  </si>
  <si>
    <t>Various ML and DL models</t>
  </si>
  <si>
    <t>Saliency, attention, LIME, SHAP</t>
  </si>
  <si>
    <t>Survey-based; multiple datasets</t>
  </si>
  <si>
    <t>Qualitative comparison, interpretability taxonomy</t>
  </si>
  <si>
    <t>Taxonomises interpretability methods; distinguishes interpretability from completeness</t>
  </si>
  <si>
    <t>arXiv preprint; not peer-reviewed in journal</t>
  </si>
  <si>
    <t>Cited for XAI techniques section motivation</t>
  </si>
  <si>
    <t>Explainable Artificial Intelligence (XAI): From Theory to Methods and Applications</t>
  </si>
  <si>
    <t>Ortigossa et al.</t>
  </si>
  <si>
    <t>ML, DL</t>
  </si>
  <si>
    <t>SHAP, LIME, Grad-CAM, counterfactuals</t>
  </si>
  <si>
    <t>Multiple domain benchmark datasets</t>
  </si>
  <si>
    <t>Accuracy, qualitative application review</t>
  </si>
  <si>
    <t>Bridges XAI theory and practice across multiple application domains</t>
  </si>
  <si>
    <t>Limited systematic selection methodology</t>
  </si>
  <si>
    <t>Cited in model-specific XAI section</t>
  </si>
  <si>
    <t>Interpretable Machine Learning: A Guide for Making Black Box Models Explainable (2nd ed.)</t>
  </si>
  <si>
    <t>Molnar</t>
  </si>
  <si>
    <t>Leanpub (Book)</t>
  </si>
  <si>
    <t>SHAP, LIME, PDP, ICE, Anchors, counterfactuals</t>
  </si>
  <si>
    <t>Qualitative assessment, examples</t>
  </si>
  <si>
    <t>F, P, C</t>
  </si>
  <si>
    <t>Comprehensive practical guide to interpretable ML; covers all major XAI methods with examples</t>
  </si>
  <si>
    <t>Book format; not peer-reviewed in traditional sense</t>
  </si>
  <si>
    <t>Key XAI textbook reference used throughout paper</t>
  </si>
  <si>
    <t>From Black Box to Glass Box: A Practical Review of Explainable Artificial Intelligence (XAI)</t>
  </si>
  <si>
    <t>Liu et al.</t>
  </si>
  <si>
    <t>AI (MDPI)</t>
  </si>
  <si>
    <t>SHAP, LIME, Grad-CAM, LRP, attention</t>
  </si>
  <si>
    <t>Practical deployment metrics, qualitative</t>
  </si>
  <si>
    <t>Practitioner-focused XAI review; emphasises deployment considerations and tool availability</t>
  </si>
  <si>
    <t>Limited systematic selection; no PRISMA</t>
  </si>
  <si>
    <t>Cited in model-specific section for interpretability-performance trade-off</t>
  </si>
  <si>
    <t>A Perspective on Explainable Artificial Intelligence Methods: SHAP and LIME</t>
  </si>
  <si>
    <t>Salih et al.</t>
  </si>
  <si>
    <t>Advanced Intelligent Systems</t>
  </si>
  <si>
    <t>Ensemble models, DNNs</t>
  </si>
  <si>
    <t>SHAP, LIME comparison</t>
  </si>
  <si>
    <t>Clinical datasets (cardiovascular, imaging)</t>
  </si>
  <si>
    <t>Attribution consistency, clinical utility</t>
  </si>
  <si>
    <t>Comparative analysis of SHAP and LIME in clinical settings; identifies faithfulness limitations</t>
  </si>
  <si>
    <t>Limited to SHAP and LIME; does not cover post-hoc gradient methods</t>
  </si>
  <si>
    <t>Cited in model-specific section for intrinsic vs. post-hoc trade-off</t>
  </si>
  <si>
    <t>Axiomatic Attribution for Deep Networks (Integrated Gradients)</t>
  </si>
  <si>
    <t>Sundararajan et al.</t>
  </si>
  <si>
    <t>DNNs, CNNs</t>
  </si>
  <si>
    <t>Integrated Gradients</t>
  </si>
  <si>
    <t>ImageNet, text classification datasets</t>
  </si>
  <si>
    <t>Sensitivity, completeness axiom satisfaction</t>
  </si>
  <si>
    <t>Introduces Integrated Gradients satisfying sensitivity and implementation invariance axioms</t>
  </si>
  <si>
    <t>Baseline selection significantly affects attribution results</t>
  </si>
  <si>
    <t>Widely used post-hoc method in healthcare and finance</t>
  </si>
  <si>
    <t>Interpreting Black-box Models: A Review on Explainable Artificial Intelligence</t>
  </si>
  <si>
    <t>Hassija et al.</t>
  </si>
  <si>
    <t>Cognitive Computation</t>
  </si>
  <si>
    <t>Qualitative taxonomy, coverage</t>
  </si>
  <si>
    <t>F, P, S</t>
  </si>
  <si>
    <t>Comprehensive review of black-box model interpretation; covers adversarial XAI risks</t>
  </si>
  <si>
    <t>No PRISMA; limited agentic AI treatment</t>
  </si>
  <si>
    <t>Cited in model-agnostic section introduction</t>
  </si>
  <si>
    <t>From Local Explanations to Global Understanding with Explainable AI for Trees (TreeSHAP)</t>
  </si>
  <si>
    <t>Lundberg et al.</t>
  </si>
  <si>
    <t>Nature Machine Intelligence</t>
  </si>
  <si>
    <t>Tree ensembles (XGBoost, RF, LightGBM)</t>
  </si>
  <si>
    <t>TreeSHAP (exact polynomial-time SHAP)</t>
  </si>
  <si>
    <t>NHANES, clinical EHR datasets</t>
  </si>
  <si>
    <t>SHAP consistency, computational complexity</t>
  </si>
  <si>
    <t>Introduces TreeSHAP with O(TLD2) exact computation; enables global tree ensemble explanation</t>
  </si>
  <si>
    <t>Limited to tree-based models; not applicable to DNNs directly</t>
  </si>
  <si>
    <t>Cited for TreeSHAP computational complexity discussion</t>
  </si>
  <si>
    <t>Anchors: High-Precision Model-Agnostic Explanations</t>
  </si>
  <si>
    <t>AAAI</t>
  </si>
  <si>
    <t>Anchors (IF-THEN rules)</t>
  </si>
  <si>
    <t>Text, tabular, image datasets</t>
  </si>
  <si>
    <t>Precision, coverage, perturbation-based validity</t>
  </si>
  <si>
    <t>Introduces Anchors producing high-precision local IF-THEN rules for any classifier</t>
  </si>
  <si>
    <t>Low coverage in high-dimensional spaces; combinatorial rule search</t>
  </si>
  <si>
    <t>Cited for rule-based local XAI in healthcare clinical decision support</t>
  </si>
  <si>
    <t>Greedy Function Approximation: A Gradient Boosting Machine (PDP)</t>
  </si>
  <si>
    <t>Friedman</t>
  </si>
  <si>
    <t>Annals of Statistics</t>
  </si>
  <si>
    <t>Gradient Boosting Machine</t>
  </si>
  <si>
    <t>Partial Dependence Plots (PDP)</t>
  </si>
  <si>
    <t>Regression and classification datasets</t>
  </si>
  <si>
    <t>MSE, feature effect visualisation</t>
  </si>
  <si>
    <t>Introduces gradient boosting and PDPs; PDPs show marginal effect of features on model output</t>
  </si>
  <si>
    <t>PDPs misleading under feature correlation; averages out interaction effects</t>
  </si>
  <si>
    <t>Cited for PDP in model-agnostic techniques section</t>
  </si>
  <si>
    <t>Peeking Inside the Black Box: Visualising Statistical Learning with ICE Plots</t>
  </si>
  <si>
    <t>Goldstein et al.</t>
  </si>
  <si>
    <t>Journal of Computational and Graphical Statistics</t>
  </si>
  <si>
    <t>Linear, tree, ensemble models</t>
  </si>
  <si>
    <t>Individual Conditional Expectation (ICE) plots</t>
  </si>
  <si>
    <t>Simulation and real datasets</t>
  </si>
  <si>
    <t>Visual fidelity, individual effect accuracy</t>
  </si>
  <si>
    <t>Introduces ICE plots extending PDP to individual instance level; reveals heterogeneous effects</t>
  </si>
  <si>
    <t>Visual interpretability limited when many instances plotted; susceptible to overplotting</t>
  </si>
  <si>
    <t>Cited alongside PDP in model-agnostic techniques section</t>
  </si>
  <si>
    <t>Extracting Tree-Structured Representations of Trained Networks (Surrogate Models)</t>
  </si>
  <si>
    <t>Craven &amp; Shavlik</t>
  </si>
  <si>
    <t>Trained neural networks</t>
  </si>
  <si>
    <t>Surrogate decision tree extraction</t>
  </si>
  <si>
    <t>UCI classification datasets</t>
  </si>
  <si>
    <t>Fidelity, accuracy of extracted rules</t>
  </si>
  <si>
    <t>Introduces model distillation into decision trees; foundational surrogate model methodology</t>
  </si>
  <si>
    <t>Approximation fidelity may be poor for complex DNNs; global surrogates may miss local behaviour</t>
  </si>
  <si>
    <t>Foundational surrogate model reference cited in model-agnostic section</t>
  </si>
  <si>
    <t>Explainable Artificial Intelligence: A Survey of Needs, Techniques, Applications, and Future Direction</t>
  </si>
  <si>
    <t>Mersha et al.</t>
  </si>
  <si>
    <t>Neurocomputing</t>
  </si>
  <si>
    <t>Qualitative coverage, taxonomy analysis</t>
  </si>
  <si>
    <t>Comprehensive XAI needs and techniques survey with future directions across multiple domains</t>
  </si>
  <si>
    <t>No PRISMA; no systematic selection procedure</t>
  </si>
  <si>
    <t>Cited in post-hoc section and cybersecurity discussion</t>
  </si>
  <si>
    <t>Visualising and Understanding Convolutional Networks (DeconvNet)</t>
  </si>
  <si>
    <t>Zeiler &amp; Fergus</t>
  </si>
  <si>
    <t>ECCV</t>
  </si>
  <si>
    <t>AlexNet, ZFNet (CNN)</t>
  </si>
  <si>
    <t>Deconvolutional network visualisation</t>
  </si>
  <si>
    <t>Top-1/Top-5 accuracy, feature visualisation quality</t>
  </si>
  <si>
    <t>Introduces deconvolution and guided backpropagation for CNN feature visualisation</t>
  </si>
  <si>
    <t>Computationally expensive; may not faithfully represent learned features</t>
  </si>
  <si>
    <t>Cited alongside Grad-CAM as foundational CNN visualisation method</t>
  </si>
  <si>
    <t>Deep Inside Convolutional Networks: Visualising Image Classification Models and Saliency Maps</t>
  </si>
  <si>
    <t>Simonyan, Vedaldi &amp; Zisserman</t>
  </si>
  <si>
    <t>CNN (VGGNet)</t>
  </si>
  <si>
    <t>Saliency maps (gradient-based)</t>
  </si>
  <si>
    <t>Visual quality, localisation accuracy</t>
  </si>
  <si>
    <t>Introduces gradient-based saliency maps for CNN class visualisation and image-specific class models</t>
  </si>
  <si>
    <t>Noise-sensitive; no standardised evaluation; arXiv preprint</t>
  </si>
  <si>
    <t>Foundational saliency map reference</t>
  </si>
  <si>
    <t>Neural Machine Translation by Jointly Learning to Align and Translate (Attention)</t>
  </si>
  <si>
    <t>Bahdanau, Cho &amp; Bengio</t>
  </si>
  <si>
    <t>RNN encoder-decoder with attention</t>
  </si>
  <si>
    <t>Attention weight visualisation</t>
  </si>
  <si>
    <t>WMT English-French translation</t>
  </si>
  <si>
    <t>BLEU score</t>
  </si>
  <si>
    <t>Introduces soft attention mechanism aligning source and target sequences; influential attention reference</t>
  </si>
  <si>
    <t>Attention faithfulness caveat (Jain &amp; Wallace 2019) applies</t>
  </si>
  <si>
    <t>Foundational attention mechanism reference cited in post-hoc section</t>
  </si>
  <si>
    <t>Counterfactual Explanations Without Opening the Black Box: Automated Decisions and the GDPR</t>
  </si>
  <si>
    <t>Wachter, Mittelstadt &amp; Russell</t>
  </si>
  <si>
    <t>Harvard Journal of Law &amp; Technology</t>
  </si>
  <si>
    <t>Any classifier</t>
  </si>
  <si>
    <t>Counterfactual Explanations</t>
  </si>
  <si>
    <t>Loan approval, credit scoring datasets</t>
  </si>
  <si>
    <t>Validity, proximity, sparsity</t>
  </si>
  <si>
    <t>Introduces counterfactual explanations satisfying GDPR right-to-explanation; minimal input changes</t>
  </si>
  <si>
    <t>Generating feasible, diverse counterfactuals is computationally challenging</t>
  </si>
  <si>
    <t>Key reference for counterfactual XAI in healthcare and finance</t>
  </si>
  <si>
    <t>The Future of Human-Centric XAI Is Not Post-Hoc Explanations</t>
  </si>
  <si>
    <t>Swamy, Frej &amp; Kaser</t>
  </si>
  <si>
    <t>Journal of Artificial Intelligence Research</t>
  </si>
  <si>
    <t>ML/DL/LLM</t>
  </si>
  <si>
    <t>Inherently interpretable models, human-centred design</t>
  </si>
  <si>
    <t>Educational and NLP benchmark datasets</t>
  </si>
  <si>
    <t>User comprehension, task performance</t>
  </si>
  <si>
    <t>Argues post-hoc explanations are insufficient; advocates for inherently interpretable human-centred models</t>
  </si>
  <si>
    <t>Prescriptive stance may not apply equally to all high-stakes domains</t>
  </si>
  <si>
    <t>Cited in evaluation framework section for human-centred XAI argument</t>
  </si>
  <si>
    <t>Evaluating the Visualisation of What a Deep Neural Network has Learned (AOPC)</t>
  </si>
  <si>
    <t>Samek et al.</t>
  </si>
  <si>
    <t>CNN, DNN</t>
  </si>
  <si>
    <t>LRP, saliency; AOPC evaluation metric</t>
  </si>
  <si>
    <t>MNIST, CIFAR-10, ImageNet</t>
  </si>
  <si>
    <t>AOPC (Area Over Perturbation Curve)</t>
  </si>
  <si>
    <t>Introduces AOPC as quantitative faithfulness metric for XAI evaluation; compares LRP vs. saliency</t>
  </si>
  <si>
    <t>AOPC depends on perturbation strategy choice</t>
  </si>
  <si>
    <t>Foundational XAI evaluation metric cited in Evaluation Framework section</t>
  </si>
  <si>
    <t>RISE: Randomized Input Sampling for Explanation of Black-box Models</t>
  </si>
  <si>
    <t>Petsiuk, Das &amp; Saenko</t>
  </si>
  <si>
    <t>BMVC</t>
  </si>
  <si>
    <t>Black-box CNNs</t>
  </si>
  <si>
    <t>RISE (randomised mask-based saliency)</t>
  </si>
  <si>
    <t>Pointing game, insertion/deletion AUC</t>
  </si>
  <si>
    <t>Model-agnostic saliency via random input masking; applicable without model access</t>
  </si>
  <si>
    <t>High variance with limited samples; computationally expensive at scale</t>
  </si>
  <si>
    <t>Cited as insertion/deletion evaluation method in XAI Evaluation Framework</t>
  </si>
  <si>
    <t>On the Robustness of Interpretability Methods</t>
  </si>
  <si>
    <t>Alvarez-Melis &amp; Jaakkola</t>
  </si>
  <si>
    <t>ICML Workshop on Human Interpretability in ML</t>
  </si>
  <si>
    <t>Various classifiers</t>
  </si>
  <si>
    <t>Lipschitz continuity-based stability metric</t>
  </si>
  <si>
    <t>Text and tabular datasets</t>
  </si>
  <si>
    <t>Stability score (Lipschitz bound)</t>
  </si>
  <si>
    <t>S</t>
  </si>
  <si>
    <t>Introduces formal Lipschitz-based stability metric for XAI methods; quantifies explanation sensitivity</t>
  </si>
  <si>
    <t>Workshop paper; limited scale of evaluation</t>
  </si>
  <si>
    <t>Cited for stability dimension in XAI Evaluation Framework</t>
  </si>
  <si>
    <t>A Review of Explainable Artificial Intelligence in Healthcare</t>
  </si>
  <si>
    <t>Sadeghi et al.</t>
  </si>
  <si>
    <t>Computers and Electrical Engineering</t>
  </si>
  <si>
    <t>ML, DL, clinical AI models</t>
  </si>
  <si>
    <t>Clinical imaging and EHR datasets</t>
  </si>
  <si>
    <t>Accuracy, clinical utility, trustworthiness</t>
  </si>
  <si>
    <t>Comprehensive healthcare XAI review covering imaging, EHR, and clinical NLP across multiple disease areas</t>
  </si>
  <si>
    <t>No PRISMA; no systematic screening procedure</t>
  </si>
  <si>
    <t>Cited in healthcare section introduction</t>
  </si>
  <si>
    <t>Explainable Artificial Intelligence for Medical Applications: A Review</t>
  </si>
  <si>
    <t>Sun, Akman &amp; Schuller</t>
  </si>
  <si>
    <t>ACM Transactions on Computing for Healthcare</t>
  </si>
  <si>
    <t>ML, DL, LLM, clinical models</t>
  </si>
  <si>
    <t>SHAP, Grad-CAM, LRP, attention</t>
  </si>
  <si>
    <t>Multi-modal clinical datasets</t>
  </si>
  <si>
    <t>Clinical utility, accuracy, trust</t>
  </si>
  <si>
    <t>Up-to-date healthcare XAI review including LLM-based clinical applications; covers trustworthiness</t>
  </si>
  <si>
    <t>Heterogeneous coverage; limited systematic selection</t>
  </si>
  <si>
    <t>Cited extensively in healthcare applications section</t>
  </si>
  <si>
    <t>The Role of Explainable AI in Disease Prediction: A Systematic Literature Review</t>
  </si>
  <si>
    <t>Alkhanbouli et al.</t>
  </si>
  <si>
    <t>BMC Medical Informatics and Decision Making</t>
  </si>
  <si>
    <t>SHAP, LIME, Grad-CAM, attention</t>
  </si>
  <si>
    <t>Clinical disease prediction datasets</t>
  </si>
  <si>
    <t>Accuracy, AUC, clinical validation</t>
  </si>
  <si>
    <t>Systematic review of XAI for disease prediction; covers regulatory compliance and clinical adoption</t>
  </si>
  <si>
    <t>PRISMA not fully specified; limited agentic and LLM coverage</t>
  </si>
  <si>
    <t>Cited in healthcare clinical decision support section</t>
  </si>
  <si>
    <t>Unveiling the Black Box: A Systematic Review of Explainable AI in Medical Image Analysis</t>
  </si>
  <si>
    <t>Muhammad &amp; Bendechache</t>
  </si>
  <si>
    <t>Computational and Structural Biotechnology Journal</t>
  </si>
  <si>
    <t>CNN, ResNet, ViT, U-Net</t>
  </si>
  <si>
    <t>Grad-CAM, LRP, saliency, SHAP, attention</t>
  </si>
  <si>
    <t>Radiology, pathology, dermatoscopy datasets</t>
  </si>
  <si>
    <t>Localisation accuracy, AOPC, clinical evaluation</t>
  </si>
  <si>
    <t>Systematic review of XAI for medical imaging; covers gradient methods, saliency, and attention</t>
  </si>
  <si>
    <t>Faithfulness limitations of gradient methods not quantified systematically</t>
  </si>
  <si>
    <t>Key reference for medical imaging XAI subsection</t>
  </si>
  <si>
    <t>Demystifying the Black Box: A Survey on XAI in Bioinformatics</t>
  </si>
  <si>
    <t>Budhkar et al.</t>
  </si>
  <si>
    <t>SHAP, LIME, Grad-CAM, TCAV, attention</t>
  </si>
  <si>
    <t>Genomic, proteomic, clinical omics datasets</t>
  </si>
  <si>
    <t>Accuracy, biological plausibility, attribution quality</t>
  </si>
  <si>
    <t>Survey of XAI in bioinformatics covering genomics, drug discovery, and personalised medicine</t>
  </si>
  <si>
    <t>Rapidly evolving field; limited standardised benchmarks in omics XAI</t>
  </si>
  <si>
    <t>Cited in healthcare trust and clinical adoption section</t>
  </si>
  <si>
    <t>Differential Diagnosis of Iron Deficiency Anemia from Aplastic Anemia Using ML and XAI</t>
  </si>
  <si>
    <t>Darshan et al.</t>
  </si>
  <si>
    <t>Scientific Reports</t>
  </si>
  <si>
    <t>Random Forest, XGBoost, ANN</t>
  </si>
  <si>
    <t>SHAP, LIME, Anchor, QLattice</t>
  </si>
  <si>
    <t>Blood attributes dataset (anemia patients)</t>
  </si>
  <si>
    <t>Accuracy, AUC, SHAP attribution quality</t>
  </si>
  <si>
    <t>Applies ML with multiple XAI techniques for anemia differential diagnosis using blood parameters</t>
  </si>
  <si>
    <t>Cited in healthcare table: anemia diagnosis row</t>
  </si>
  <si>
    <t>Improving Stroke Risk Prediction by Integrating XGBoost, Optimized PCA, and XAI</t>
  </si>
  <si>
    <t>Mochurad et al.</t>
  </si>
  <si>
    <t>SHAP, PCA-optimised feature attribution</t>
  </si>
  <si>
    <t>Clinical stroke patient records</t>
  </si>
  <si>
    <t>AUC, accuracy, SHAP consistency</t>
  </si>
  <si>
    <t>Integrates PCA dimensionality reduction with XGBoost and SHAP for stroke prediction</t>
  </si>
  <si>
    <t>PCA transformation reduces raw-feature interpretability</t>
  </si>
  <si>
    <t>Cited in healthcare table: stroke risk prediction row</t>
  </si>
  <si>
    <t>Investigating Protective and Risk Factors for Aboriginal Perinatal Mental Health: XAI Approach</t>
  </si>
  <si>
    <t>Wang et al.</t>
  </si>
  <si>
    <t>Journal of Medical Internet Research</t>
  </si>
  <si>
    <t>Random Forest, Extra Trees</t>
  </si>
  <si>
    <t>Permutation Importance, SHAP</t>
  </si>
  <si>
    <t>Aboriginal perinatal health survey dataset</t>
  </si>
  <si>
    <t>AUC, accuracy, SHAP attribution quality</t>
  </si>
  <si>
    <t>Applies XAI to identify protective and risk factors for perinatal mental health in Aboriginal populations</t>
  </si>
  <si>
    <t>Single cultural context; limited generalisability across populations</t>
  </si>
  <si>
    <t>Cited in healthcare table: perinatal mental health row</t>
  </si>
  <si>
    <t>Explainable AI for Medical Imaging Systems Using Deep Learning: A Comprehensive Review</t>
  </si>
  <si>
    <t>Houssein et al.</t>
  </si>
  <si>
    <t>Cluster Computing</t>
  </si>
  <si>
    <t>Grad-CAM, LIME, SHAP, Integrated Gradients, LRP</t>
  </si>
  <si>
    <t>MRI, CT, X-ray, histopathology datasets</t>
  </si>
  <si>
    <t>Comprehensive review of DL-based XAI for medical imaging; covers modality-specific technique suitability</t>
  </si>
  <si>
    <t>Heterogeneous evaluation criteria across reviewed studies</t>
  </si>
  <si>
    <t>Cited in healthcare medical imaging subsection and table</t>
  </si>
  <si>
    <t>Very Deep Convolutional Networks for Large-Scale Image Recognition (VGGNet)</t>
  </si>
  <si>
    <t>Simonyan &amp; Zisserman</t>
  </si>
  <si>
    <t>VGG-16, VGG-19</t>
  </si>
  <si>
    <t>Saliency maps, Grad-CAM</t>
  </si>
  <si>
    <t>Introduces very deep CNNs with small 3x3 filters; widely used backbone for medical imaging XAI</t>
  </si>
  <si>
    <t>No architectural attention to interpretability; arXiv preprint</t>
  </si>
  <si>
    <t>Cited alongside Grad-CAM for saliency map XAI in medical imaging</t>
  </si>
  <si>
    <t>Intelligent Skin Disease Prediction System Using Transfer Learning and XAI</t>
  </si>
  <si>
    <t>Abbas et al.</t>
  </si>
  <si>
    <t>VGG-16 (transfer learning)</t>
  </si>
  <si>
    <t>Dermatoscopy image dataset (HAM10000)</t>
  </si>
  <si>
    <t>Accuracy, AUC, LRP attribution visualisation</t>
  </si>
  <si>
    <t>Applies transfer learning with LRP for explainable skin disease classification; clinical validation</t>
  </si>
  <si>
    <t>Single dataset; limited multi-centre evaluation</t>
  </si>
  <si>
    <t>Cited in healthcare table: skin disease detection row</t>
  </si>
  <si>
    <t>Integrating Explainable AI and LightGBM for Glioma Grading</t>
  </si>
  <si>
    <t>Noviandy et al.</t>
  </si>
  <si>
    <t>Informatics and Health</t>
  </si>
  <si>
    <t>SHAP (global and local)</t>
  </si>
  <si>
    <t>Genomic + clinical glioma dataset</t>
  </si>
  <si>
    <t>Accuracy, AUC, SHAP attribution</t>
  </si>
  <si>
    <t>Integrates LightGBM with SHAP for interpretable glioma grading using genomic and clinical features</t>
  </si>
  <si>
    <t>Small sample size; single-institution data</t>
  </si>
  <si>
    <t>Cited in healthcare medical imaging section and precision medicine</t>
  </si>
  <si>
    <t>Current Methods in Explainable AI and Future Prospects for Integrative Physiology</t>
  </si>
  <si>
    <t>Finzel</t>
  </si>
  <si>
    <t>SHAP, LIME, attention, t-SNE, LDA, DBSCAN</t>
  </si>
  <si>
    <t>Clinical physiology and pathology datasets</t>
  </si>
  <si>
    <t>Qualitative domain expert agreement</t>
  </si>
  <si>
    <t>Reviews XAI methods for integrative physiology and pathology; expert validation approach</t>
  </si>
  <si>
    <t>Narrow physiological focus; limited to qualitative evaluation</t>
  </si>
  <si>
    <t>Cited in healthcare table: pathology report analysis row</t>
  </si>
  <si>
    <t>Interpretability Beyond Classification Accuracy: Quantitative Testing with Concept Activation Vectors (TCAV)</t>
  </si>
  <si>
    <t>Kim et al.</t>
  </si>
  <si>
    <t>Inception, ResNet (CNNs)</t>
  </si>
  <si>
    <t>TCAV (concept-based explanation)</t>
  </si>
  <si>
    <t>ImageNet, medical imaging datasets</t>
  </si>
  <si>
    <t>TCAV score, statistical significance test</t>
  </si>
  <si>
    <t>Introduces TCAV enabling explanation via human-defined concepts rather than pixels</t>
  </si>
  <si>
    <t>Requires pre-defined concept datasets; concept quality affects explanation quality</t>
  </si>
  <si>
    <t>Cited for concept-based XAI in personalised medicine and XAI taxonomy</t>
  </si>
  <si>
    <t>Fine-tuning Language Model Embeddings to Reveal Domain Knowledge: An XAI Perspective on Medical Decision Making</t>
  </si>
  <si>
    <t>Krajsnikovic et al.</t>
  </si>
  <si>
    <t>Engineering Applications of Artificial Intelligence</t>
  </si>
  <si>
    <t>BERT-based fine-tuned LM</t>
  </si>
  <si>
    <t>t-SNE, LDA, DBSCAN clustering</t>
  </si>
  <si>
    <t>Clinical text/pathology reports</t>
  </si>
  <si>
    <t>Cluster agreement with domain knowledge (98.8%)</t>
  </si>
  <si>
    <t>Fine-tunes LLM for medical text; uses clustering-based explanation to validate against expert knowledge</t>
  </si>
  <si>
    <t>Cluster interpretability depends on domain expert validation availability</t>
  </si>
  <si>
    <t>The Role of Causality in Explainable Artificial Intelligence</t>
  </si>
  <si>
    <t>Carloni et al.</t>
  </si>
  <si>
    <t>WIREs Data Mining and Knowledge Discovery</t>
  </si>
  <si>
    <t>ML, DL, causal models</t>
  </si>
  <si>
    <t>Structural Causal Models, SHAP, counterfactuals</t>
  </si>
  <si>
    <t>IVF clinical data, general clinical datasets</t>
  </si>
  <si>
    <t>Causal graph validity, attribution accuracy</t>
  </si>
  <si>
    <t>Examines causality as foundation for XAI; bridges correlational and causal explanation in clinical settings</t>
  </si>
  <si>
    <t>Causal identifiability challenges limit practical deployment</t>
  </si>
  <si>
    <t>Cited in precision medicine and cross-cutting challenges sections</t>
  </si>
  <si>
    <t>Orchestrating Explainable AI for Multimodal and Longitudinal Data in Medical Imaging</t>
  </si>
  <si>
    <t>Pahud de Mortanges et al.</t>
  </si>
  <si>
    <t>NPJ Digital Medicine</t>
  </si>
  <si>
    <t>Transformer, multimodal fusion</t>
  </si>
  <si>
    <t>Multimodal XAI, longitudinal attribution</t>
  </si>
  <si>
    <t>Longitudinal radiological imaging datasets</t>
  </si>
  <si>
    <t>Proposes orchestration framework for XAI across multimodal and longitudinal clinical imaging data</t>
  </si>
  <si>
    <t>Limited to imaging modalities; orchestration framework not yet standardised</t>
  </si>
  <si>
    <t>Cited in personalised/precision medicine subsection</t>
  </si>
  <si>
    <t>An XAI and IoT Framework for Monitoring and Predicting Cardiovascular Disease</t>
  </si>
  <si>
    <t>Umar et al.</t>
  </si>
  <si>
    <t>IoT physiological sensor dataset (cardiovascular)</t>
  </si>
  <si>
    <t>Combines IoT sensing with ML and SHAP for real-time cardiovascular disease monitoring</t>
  </si>
  <si>
    <t>IoT dataset from limited deployment environment</t>
  </si>
  <si>
    <t>Cited in healthcare table: cardiovascular disease row</t>
  </si>
  <si>
    <t>Explainable AI Systems for Predicting Mental Health Problems in Autistics</t>
  </si>
  <si>
    <t>Atlam et al.</t>
  </si>
  <si>
    <t>Alexandria Engineering Journal</t>
  </si>
  <si>
    <t>Voting Ensemble</t>
  </si>
  <si>
    <t>Autism behavioural assessment dataset</t>
  </si>
  <si>
    <t>Accuracy, F1, SHAP attribution</t>
  </si>
  <si>
    <t>Develops voting ensemble with SHAP explanations for autism-related mental health prediction</t>
  </si>
  <si>
    <t>Behavioural dataset may not generalise across cultural contexts</t>
  </si>
  <si>
    <t>Cited in healthcare table: mental health (autism) row</t>
  </si>
  <si>
    <t>Explainable AI of DNA Methylation-based Brain Tumor Diagnostics</t>
  </si>
  <si>
    <t>Benfatto et al.</t>
  </si>
  <si>
    <t>Nature Communications</t>
  </si>
  <si>
    <t>Random Forest, CNN</t>
  </si>
  <si>
    <t>Grad-CAM, probe frequency analysis</t>
  </si>
  <si>
    <t>DNA methylation profiling dataset (brain tumours)</t>
  </si>
  <si>
    <t>Classification accuracy, XAI attribution validity</t>
  </si>
  <si>
    <t>Applies XAI to explain DNA methylation-based brain tumour classification; clinical validation with pathologists</t>
  </si>
  <si>
    <t>Specialised molecular data; limited generalisability to other cancer types</t>
  </si>
  <si>
    <t>Cited in healthcare table: brain tumour classification row</t>
  </si>
  <si>
    <t>Explainable AI to Identify Follicles that Optimise Clinical Outcomes During Assisted Conception</t>
  </si>
  <si>
    <t>Hanassab et al.</t>
  </si>
  <si>
    <t>Gradient Boosting</t>
  </si>
  <si>
    <t>IVF ultrasound and follicular data</t>
  </si>
  <si>
    <t>Pregnancy outcome prediction AUC, SHAP attribution</t>
  </si>
  <si>
    <t>First XAI application for IVF follicle selection; clinically validated with fertility specialists</t>
  </si>
  <si>
    <t>Single-centre clinical dataset; retrospective design</t>
  </si>
  <si>
    <t>Cited in healthcare table: IVF optimisation row</t>
  </si>
  <si>
    <t>Detection of Breast Cancer Using Machine Learning and Explainable Artificial Intelligence</t>
  </si>
  <si>
    <t>Arravalli et al.</t>
  </si>
  <si>
    <t>Stacked Ensemble</t>
  </si>
  <si>
    <t>QLattice, Anchor, SHAP, LIME</t>
  </si>
  <si>
    <t>Breast cancer clinical tabular dataset</t>
  </si>
  <si>
    <t>Accuracy, AUC, precision, recall</t>
  </si>
  <si>
    <t>Stacked ensemble with multiple XAI methods for breast cancer detection; comparative XAI evaluation</t>
  </si>
  <si>
    <t>Limited multi-centre validation; dataset size moderate</t>
  </si>
  <si>
    <t>Cited in healthcare table: breast cancer diagnosis row</t>
  </si>
  <si>
    <t>How Explainable AI Can Increase or Decrease Clinicians Trust in AI Applications in Healthcare</t>
  </si>
  <si>
    <t>Rosenbacke et al.</t>
  </si>
  <si>
    <t>JMIR AI</t>
  </si>
  <si>
    <t>ML, DL clinical models</t>
  </si>
  <si>
    <t>SHAP, LIME, Grad-CAM, attention visualisation</t>
  </si>
  <si>
    <t>Clinician survey and interview datasets</t>
  </si>
  <si>
    <t>Trust score, adoption rate, user study metrics</t>
  </si>
  <si>
    <t>Systematic review showing XAI improves clinician trust when well-designed; over-complex explanations reduce confidence</t>
  </si>
  <si>
    <t>Heterogeneous study designs limit meta-analysis</t>
  </si>
  <si>
    <t>Key reference for clinical trust and adoption subsection</t>
  </si>
  <si>
    <t>Systematic Literature Review on XAI in Palliative Care Studies</t>
  </si>
  <si>
    <t>Migiddorj et al.</t>
  </si>
  <si>
    <t>International Journal of Medical Informatics</t>
  </si>
  <si>
    <t>SHAP, LIME, attention</t>
  </si>
  <si>
    <t>Palliative care patient datasets</t>
  </si>
  <si>
    <t>Clinical utility, explanation quality</t>
  </si>
  <si>
    <t>Systematic review of XAI in palliative care; demonstrates real-time SHAP explanations increase user confidence</t>
  </si>
  <si>
    <t>Niche domain; limited number of included studies</t>
  </si>
  <si>
    <t>Cited in healthcare trust table: remote monitoring row</t>
  </si>
  <si>
    <t>HXAI-ML: A Hybrid Explainable AI Machine Learning Model for Cardiovascular Heart Disease Detection</t>
  </si>
  <si>
    <t>Talukder et al.</t>
  </si>
  <si>
    <t>Results in Engineering</t>
  </si>
  <si>
    <t>Hybrid ML ensemble</t>
  </si>
  <si>
    <t>SHAP, LIME, hybrid XAI</t>
  </si>
  <si>
    <t>Cardiovascular disease clinical dataset</t>
  </si>
  <si>
    <t>Accuracy, AUC, explanation coverage</t>
  </si>
  <si>
    <t>Hybrid XAI-ML architecture improving clinician acceptance over single-method approaches</t>
  </si>
  <si>
    <t>Limited comparison against DL baselines</t>
  </si>
  <si>
    <t>Cited in healthcare clinical trust and adoption subsection</t>
  </si>
  <si>
    <t>XAI for Cybersecurity: State of the Art, Challenges, Open Issues and Future Directions</t>
  </si>
  <si>
    <t>Srivastava et al.</t>
  </si>
  <si>
    <t>SHAP, LIME, RFE, tree-based rules</t>
  </si>
  <si>
    <t>Model-Agnostic, Model-Specific</t>
  </si>
  <si>
    <t>Network traffic, IDS benchmark datasets</t>
  </si>
  <si>
    <t>Detection rate, explanation quality, feature attribution</t>
  </si>
  <si>
    <t>Comprehensive XAI for cybersecurity survey; covers IDS, IoT, and adversarial XAI challenges</t>
  </si>
  <si>
    <t>arXiv preprint; not journal-peer-reviewed; rapidly evolving field</t>
  </si>
  <si>
    <t>Primary cybersecurity XAI survey reference</t>
  </si>
  <si>
    <t>A Systematic Review on XAI in Intrusion Detection Systems</t>
  </si>
  <si>
    <t>Mohale &amp; Obagbuwa</t>
  </si>
  <si>
    <t>Frontiers in Artificial Intelligence</t>
  </si>
  <si>
    <t>SHAP, LIME, decision tree rules</t>
  </si>
  <si>
    <t>NSL-KDD, CICIDS, UNSW-NB15 benchmark datasets</t>
  </si>
  <si>
    <t>Detection accuracy, AUC, XAI quality</t>
  </si>
  <si>
    <t>Systematic review of XAI integration in IDS; identifies adversarial robustness as key gap</t>
  </si>
  <si>
    <t>Limited coverage of XAI for encrypted traffic</t>
  </si>
  <si>
    <t>Cited in cybersecurity IDS subsection</t>
  </si>
  <si>
    <t>Anomaly Detection: A Survey</t>
  </si>
  <si>
    <t>Chandola, Banerjee &amp; Kumar</t>
  </si>
  <si>
    <t>Statistical, distance, density, classification models</t>
  </si>
  <si>
    <t>Feature-based anomaly scoring</t>
  </si>
  <si>
    <t>Multiple anomaly detection benchmark datasets</t>
  </si>
  <si>
    <t>Detection rate, false positive rate, AUC</t>
  </si>
  <si>
    <t>Foundational survey of anomaly detection techniques across domains</t>
  </si>
  <si>
    <t>Predates deep learning anomaly detection advances</t>
  </si>
  <si>
    <t>Cited as foundational reference for cybersecurity anomaly detection</t>
  </si>
  <si>
    <t>ViTDroid: Vision Transformers for Efficient Explainable Attention to Malicious Behaviour in Android Binaries</t>
  </si>
  <si>
    <t>Syed et al.</t>
  </si>
  <si>
    <t>Sensors</t>
  </si>
  <si>
    <t>Attention maps, explainable ViT</t>
  </si>
  <si>
    <t>Android malware binary dataset</t>
  </si>
  <si>
    <t>Detection accuracy, AUC, attention attribution</t>
  </si>
  <si>
    <t>Applies ViT with attention-based XAI to Android malware detection in binary representations</t>
  </si>
  <si>
    <t>Attention faithfulness caveat applies; single platform (Android)</t>
  </si>
  <si>
    <t>Cited in cybersecurity section as concrete XAI application example</t>
  </si>
  <si>
    <t>Black Box Attacks on Explainable AI (XAI) Methods in Cyber Security</t>
  </si>
  <si>
    <t>Kuppa &amp; Le-Khac</t>
  </si>
  <si>
    <t>IJCNN</t>
  </si>
  <si>
    <t>Black-box classifiers</t>
  </si>
  <si>
    <t>SHAP, LIME (adversarial manipulation)</t>
  </si>
  <si>
    <t>Synthetic adversarial cybersecurity datasets</t>
  </si>
  <si>
    <t>Attack success rate, explanation divergence</t>
  </si>
  <si>
    <t>S, Domain</t>
  </si>
  <si>
    <t>Demonstrates black-box adversarial attacks on SHAP and LIME in cybersecurity; identifies vulnerability</t>
  </si>
  <si>
    <t>Specific attack scenarios; generalisability to all XAI methods unclear</t>
  </si>
  <si>
    <t>Cited in cybersecurity intro for black-box model opacity and adversarial XAI risks</t>
  </si>
  <si>
    <t>Explainable AI and Agile Decision-Making in Supply Chain Cyber Resilience</t>
  </si>
  <si>
    <t>Decision Support Systems</t>
  </si>
  <si>
    <t>SHAP, LIME</t>
  </si>
  <si>
    <t>Supply chain cyber incident dataset</t>
  </si>
  <si>
    <t>Decision quality, resilience score, XAI utility</t>
  </si>
  <si>
    <t>Integrates XAI with agile decision-making framework for supply chain cyber resilience</t>
  </si>
  <si>
    <t>Limited to supply chain context; no real-time evaluation</t>
  </si>
  <si>
    <t>Cited in cybersecurity analyst decision support subsection</t>
  </si>
  <si>
    <t>Fooling LIME and SHAP: Adversarial Attacks on Post-hoc Explanation Methods</t>
  </si>
  <si>
    <t>Slack et al.</t>
  </si>
  <si>
    <t>AAAI/ACM AIES</t>
  </si>
  <si>
    <t>Cybersecurity, Finance</t>
  </si>
  <si>
    <t>Adult income, COMPAS recidivism datasets</t>
  </si>
  <si>
    <t>Explanation divergence rate, attack success</t>
  </si>
  <si>
    <t>Demonstrates systematic adversarial manipulation of LIME and SHAP via biased perturbation distributions</t>
  </si>
  <si>
    <t>Attack assumes knowledge of explanation method; defence mechanisms limited</t>
  </si>
  <si>
    <t>Critical adversarial XAI reference cited across cybersecurity, finance, and discussion sections</t>
  </si>
  <si>
    <t>Securing the 6G-IoT Environment: A Framework for Enhancing AI Transparency Through XAI</t>
  </si>
  <si>
    <t>Kaur &amp; Gupta</t>
  </si>
  <si>
    <t>Tree-based ensemble models</t>
  </si>
  <si>
    <t>TreeSHAP, RFE (Recursive Feature Elimination)</t>
  </si>
  <si>
    <t>6G-IoT network traffic dataset</t>
  </si>
  <si>
    <t>Detection accuracy, SHAP feature attribution</t>
  </si>
  <si>
    <t>Proposes XAI framework for transparent AI in 6G-IoT security environments; RFE-SHAP synergy</t>
  </si>
  <si>
    <t>Single dataset; 6G environment simulated not deployed</t>
  </si>
  <si>
    <t>Cited in cybersecurity IoT and network security subsection</t>
  </si>
  <si>
    <t>Integrity Verification and Behavioural Classification of Smart OS Applications via Blockchain and Generative Models</t>
  </si>
  <si>
    <t>Jan et al.</t>
  </si>
  <si>
    <t>Expert Systems</t>
  </si>
  <si>
    <t>GAN, blockchain-integrated classifier</t>
  </si>
  <si>
    <t>Behavioural classification, integrity verification</t>
  </si>
  <si>
    <t>Large-scale Android application dataset</t>
  </si>
  <si>
    <t>Classification accuracy, integrity verification rate</t>
  </si>
  <si>
    <t>Combines blockchain with generative models for explainable integrity verification of smart OS apps</t>
  </si>
  <si>
    <t>Specific to Android/smart OS; scalability of blockchain overhead</t>
  </si>
  <si>
    <t>Cited in cybersecurity table: rule-based/decision tree intrusion detection row</t>
  </si>
  <si>
    <t>Explainable Artificial Intelligence (XAI) in Finance: A Systematic Literature Review</t>
  </si>
  <si>
    <t>Cerneviciene &amp; Kabasinskas</t>
  </si>
  <si>
    <t>SHAP, LIME, counterfactuals, CASTLE, PASTLE, RESHAPE</t>
  </si>
  <si>
    <t>Credit risk, fraud, time-series financial datasets</t>
  </si>
  <si>
    <t>Attribution quality, regulatory compliance</t>
  </si>
  <si>
    <t>Systematic literature review of XAI in finance; covers credit risk, fraud, forecasting, and regulation</t>
  </si>
  <si>
    <t>No PRISMA; heterogeneous inclusion criteria</t>
  </si>
  <si>
    <t>Primary finance XAI survey reference cited throughout finance section</t>
  </si>
  <si>
    <t>A Survey of Explainable Artificial Intelligence (XAI) in Financial Time-Series Forecasting</t>
  </si>
  <si>
    <t>Arsenault et al.</t>
  </si>
  <si>
    <t>LSTM, Transformer, GBM</t>
  </si>
  <si>
    <t>Attention, LRP, Integrated Gradients</t>
  </si>
  <si>
    <t>Financial market time-series datasets</t>
  </si>
  <si>
    <t>RMSE, MAE, explanation quality</t>
  </si>
  <si>
    <t>Systematic survey of XAI for financial time-series; identifies temporal attribution as open problem</t>
  </si>
  <si>
    <t>Causal temporal explanation remains unsolved</t>
  </si>
  <si>
    <t>Cited in finance time-series forecasting subsection</t>
  </si>
  <si>
    <t>Enabling Explainable AI Capabilities in Supply Chain Decision Support</t>
  </si>
  <si>
    <t>Olan et al.</t>
  </si>
  <si>
    <t>Production Planning &amp; Control</t>
  </si>
  <si>
    <t>Rule-extraction models (S.A.F.E., KAIRI)</t>
  </si>
  <si>
    <t>Rule extraction (TAX4CS), post-hoc SHAP/LIME</t>
  </si>
  <si>
    <t>Supply chain decision datasets</t>
  </si>
  <si>
    <t>Governance compliance, decision quality</t>
  </si>
  <si>
    <t>Integrates XAI with supply chain AI governance; S.A.F.E. and KAIRI frameworks for regulatory compliance</t>
  </si>
  <si>
    <t>Limited to supply chain context; governance metrics not standardised</t>
  </si>
  <si>
    <t>Cited in finance credit risk and regulatory compliance subsections</t>
  </si>
  <si>
    <t>Explainable AI-based Decision Support Systems: A Recent Review</t>
  </si>
  <si>
    <t>Kostopoulos et al.</t>
  </si>
  <si>
    <t>Electronics</t>
  </si>
  <si>
    <t>SHAP, LIME, counterfactuals</t>
  </si>
  <si>
    <t>Decision support benchmark datasets</t>
  </si>
  <si>
    <t>Decision accuracy, explanation quality</t>
  </si>
  <si>
    <t>Reviews XAI decision support systems with focus on practical deployment and user interaction</t>
  </si>
  <si>
    <t>No PRISMA; limited domain specificity</t>
  </si>
  <si>
    <t>Cited in finance section introduction</t>
  </si>
  <si>
    <t>Exploring the Landscape of Explainable Artificial Intelligence (XAI): A Systematic Review</t>
  </si>
  <si>
    <t>Hamida et al.</t>
  </si>
  <si>
    <t>Big Data and Cognitive Computing</t>
  </si>
  <si>
    <t>Multi-domain datasets including finance</t>
  </si>
  <si>
    <t>Coverage analysis, qualitative taxonomy</t>
  </si>
  <si>
    <t>Systematic review of XAI techniques and applications across multiple domains</t>
  </si>
  <si>
    <t>No PRISMA workflow detailed; finance coverage limited</t>
  </si>
  <si>
    <t>DeepMoney: Counterfeit Money Detection Using Generative Adversarial Networks</t>
  </si>
  <si>
    <t>PeerJ Computer Science</t>
  </si>
  <si>
    <t>GAN (discriminator + generator)</t>
  </si>
  <si>
    <t>Discriminator attribution, GAN-based detection</t>
  </si>
  <si>
    <t>Banknote image dataset</t>
  </si>
  <si>
    <t>Detection accuracy, F1, visual quality</t>
  </si>
  <si>
    <t>Applies GAN for counterfeit currency detection; forensic financial security application</t>
  </si>
  <si>
    <t>GAN explanation of discriminator decisions limited</t>
  </si>
  <si>
    <t>Cited as financial security AI application with XAI relevance</t>
  </si>
  <si>
    <t>Credit Card Fraud Detection Through Explainable AI for Managerial Oversight</t>
  </si>
  <si>
    <t>Muksalmina et al.</t>
  </si>
  <si>
    <t>Indatu Journal of Management and Accounting</t>
  </si>
  <si>
    <t>Gradient Boosting, surrogate MANE</t>
  </si>
  <si>
    <t>SHAP, surrogate model (MANE)</t>
  </si>
  <si>
    <t>Credit card transaction dataset</t>
  </si>
  <si>
    <t>Detection accuracy, SHAP attribution, recall</t>
  </si>
  <si>
    <t>Applies XAI to credit card fraud detection with managerial oversight framework</t>
  </si>
  <si>
    <t>Niche journal; limited methodological rigour details</t>
  </si>
  <si>
    <t>Cited in finance table: fraud detection surrogate models row</t>
  </si>
  <si>
    <t>Do Global COVOL and Geopolitical Risks Affect Clean Energy Prices? Evidence from XAI Models</t>
  </si>
  <si>
    <t>Jabeur et al.</t>
  </si>
  <si>
    <t>Energy Economics</t>
  </si>
  <si>
    <t>Gradient Boosting, LightGBM</t>
  </si>
  <si>
    <t>LRP, Integrated Gradients</t>
  </si>
  <si>
    <t>Global energy price and geopolitical risk indices</t>
  </si>
  <si>
    <t>Forecasting accuracy, RMSE, LRP attribution</t>
  </si>
  <si>
    <t>Uses XAI to explain influence of geopolitical risks on clean energy prices; temporal attribution</t>
  </si>
  <si>
    <t>Correlational attribution; causal claim requires structural model</t>
  </si>
  <si>
    <t>Trust Considerations for Explainable Robots: A Human Factors Perspective</t>
  </si>
  <si>
    <t>Sanneman &amp; Shah</t>
  </si>
  <si>
    <t>Robotic AI systems</t>
  </si>
  <si>
    <t>Trust-based XAI framework</t>
  </si>
  <si>
    <t>Human-robot interaction user studies</t>
  </si>
  <si>
    <t>Trust scale, task performance, reliance</t>
  </si>
  <si>
    <t>Analyses how XAI influences human trust in robots from human factors perspective; identifies calibration needs</t>
  </si>
  <si>
    <t>arXiv preprint; limited empirical data</t>
  </si>
  <si>
    <t>Cited in robotics introduction for HRI trust</t>
  </si>
  <si>
    <t>Designing for Responsible Trust in AI Systems: A Communication Perspective</t>
  </si>
  <si>
    <t>Liao &amp; Sundar</t>
  </si>
  <si>
    <t>ACM FAccT</t>
  </si>
  <si>
    <t>AI decision support systems</t>
  </si>
  <si>
    <t>Communication-based transparency framework</t>
  </si>
  <si>
    <t>Trust score, perceived fairness, comprehension</t>
  </si>
  <si>
    <t>Frames responsible AI trust through communication design; transparency as relational not technical property</t>
  </si>
  <si>
    <t>Lab experiment setting; limited ecological validity</t>
  </si>
  <si>
    <t>Cited in robotics and agentic AI for responsible trust design</t>
  </si>
  <si>
    <t>Introduction to the Special Issue on Explainable Robotic Systems</t>
  </si>
  <si>
    <t>De Graaf et al.</t>
  </si>
  <si>
    <t>ACM Transactions on Human-Robot Interaction</t>
  </si>
  <si>
    <t>Multiple XAI approaches for robots</t>
  </si>
  <si>
    <t>Various HRI experimental datasets</t>
  </si>
  <si>
    <t>User trust, comprehension, collaboration quality</t>
  </si>
  <si>
    <t>Editorial introducing XAI for robotics research agenda; defines explainability goals for HRI</t>
  </si>
  <si>
    <t>Editorial; not empirical primary research</t>
  </si>
  <si>
    <t>Foundational reference for explainable robotics research agenda</t>
  </si>
  <si>
    <t>Reinforcement Learning in Robotics: A Survey</t>
  </si>
  <si>
    <t>Kober, Bagnell &amp; Peters</t>
  </si>
  <si>
    <t>International Journal of Robotics Research</t>
  </si>
  <si>
    <t>Policy gradient, Q-learning, actor-critic</t>
  </si>
  <si>
    <t>Policy inspection, reward attribution</t>
  </si>
  <si>
    <t>Robotic manipulation and locomotion benchmarks</t>
  </si>
  <si>
    <t>Task success rate, sample efficiency</t>
  </si>
  <si>
    <t>Comprehensive RL-in-robotics survey; covers challenges of policy transparency and sample efficiency</t>
  </si>
  <si>
    <t>Predates deep RL advances; limited DNN-specific interpretability</t>
  </si>
  <si>
    <t>Cited in robotics introduction for RL interpretability requirement</t>
  </si>
  <si>
    <t>Establishing Appropriate Trust via Critical States</t>
  </si>
  <si>
    <t>IROS</t>
  </si>
  <si>
    <t>Deep RL robotic agent</t>
  </si>
  <si>
    <t>Critical state visualisation</t>
  </si>
  <si>
    <t>Robotic manipulation simulation</t>
  </si>
  <si>
    <t>Trust calibration, task performance</t>
  </si>
  <si>
    <t>Identifies critical states in robot trajectories to improve human trust calibration in autonomous robots</t>
  </si>
  <si>
    <t>Simulation-only evaluation; critical state identification heuristic-based</t>
  </si>
  <si>
    <t>Cited in robotics for HRI trust and transparency</t>
  </si>
  <si>
    <t>Integrating BDI Agents with LLMs for Reliable HRI and Explainable AI</t>
  </si>
  <si>
    <t>Frering et al.</t>
  </si>
  <si>
    <t>BDI agent + LLM (GPT-based)</t>
  </si>
  <si>
    <t>Natural language explanations, symbolic reasoning</t>
  </si>
  <si>
    <t>HRI task datasets</t>
  </si>
  <si>
    <t>Task success, explanation quality, user trust</t>
  </si>
  <si>
    <t>Integrates symbolic BDI reasoning with LLMs for transparent and reliable human-robot interaction</t>
  </si>
  <si>
    <t>Limited to specific BDI-LLM architecture; real-world deployment pending</t>
  </si>
  <si>
    <t>Cited in robotics introduction for symbolic-LLM integration</t>
  </si>
  <si>
    <t>DroNet: Learning to Fly by Driving</t>
  </si>
  <si>
    <t>Loquercio et al.</t>
  </si>
  <si>
    <t>CNN (residual network)</t>
  </si>
  <si>
    <t>Saliency maps, visual attention</t>
  </si>
  <si>
    <t>Urban driving and drone flight datasets</t>
  </si>
  <si>
    <t>Collision rate, steering error</t>
  </si>
  <si>
    <t>Transfers driving CNN knowledge to drone navigation; demonstrates perception-explainability challenge</t>
  </si>
  <si>
    <t>Saliency maps limited to visual channels; no user evaluation</t>
  </si>
  <si>
    <t>Cited as concrete autonomous navigation XAI example</t>
  </si>
  <si>
    <t>Terrain Classification for Autonomous Ground Vehicles Using Random Forest</t>
  </si>
  <si>
    <t>Li, Fu &amp; Liu</t>
  </si>
  <si>
    <t>IEEE Transactions on Intelligent Transportation Systems</t>
  </si>
  <si>
    <t>Feature importance, permutation importance</t>
  </si>
  <si>
    <t>Terrain sensor dataset (LiDAR, vision)</t>
  </si>
  <si>
    <t>Classification accuracy, feature importance</t>
  </si>
  <si>
    <t>Applies Random Forest with built-in feature importance for explainable terrain classification in autonomous vehicles</t>
  </si>
  <si>
    <t>Limited to structured terrain categories; sensor fusion explanation limited</t>
  </si>
  <si>
    <t>Cited as explainable environment perception example in robotics</t>
  </si>
  <si>
    <t>Rationalization: A Neural Machine Translation Approach to Generating Natural Language Explanations</t>
  </si>
  <si>
    <t>Ehsan et al.</t>
  </si>
  <si>
    <t>Seq2Seq (neural MT model)</t>
  </si>
  <si>
    <t>Natural language rationalization</t>
  </si>
  <si>
    <t>Game-playing agent action datasets</t>
  </si>
  <si>
    <t>Human evaluation of explanation quality</t>
  </si>
  <si>
    <t>Generates natural language explanations of agent actions using neural MT; improves HRI accessibility</t>
  </si>
  <si>
    <t>Faithfulness of generated rationalisations to internal model not guaranteed</t>
  </si>
  <si>
    <t>Cited for natural language explanations in robotics HRI subsection</t>
  </si>
  <si>
    <t>Large-scale Isolated Gesture Recognition Using Convolutional Neural Networks</t>
  </si>
  <si>
    <t>CNN</t>
  </si>
  <si>
    <t>Feature activation visualisation</t>
  </si>
  <si>
    <t>Gesture recognition benchmark dataset</t>
  </si>
  <si>
    <t>Recognition accuracy, top-1/top-5</t>
  </si>
  <si>
    <t>Applies CNN to large-scale gesture recognition; relevant to HRI gesture-based communication</t>
  </si>
  <si>
    <t>arXiv preprint; XAI analysis minimal</t>
  </si>
  <si>
    <t>Cited for gesture recognition in HRI and multimodal interaction</t>
  </si>
  <si>
    <t>Collecting Interactive Multi-modal Datasets for Grounded Language Understanding</t>
  </si>
  <si>
    <t>Mohanty et al.</t>
  </si>
  <si>
    <t>Multi-modal transformer</t>
  </si>
  <si>
    <t>Dataset curation for grounded language</t>
  </si>
  <si>
    <t>Interactive multi-modal grounded language dataset</t>
  </si>
  <si>
    <t>Dataset coverage, task completion rate</t>
  </si>
  <si>
    <t>Introduces interactive multi-modal dataset for grounded language understanding in robotic contexts</t>
  </si>
  <si>
    <t>arXiv preprint; dataset-focused rather than XAI method contribution</t>
  </si>
  <si>
    <t>Cited for multimodal HRI interaction datasets</t>
  </si>
  <si>
    <t>Towards Context-Aware Safety Systems: Design Explorations Using Eye-Tracking, Object Detection, and GPT-4V</t>
  </si>
  <si>
    <t>Onkhar et al.</t>
  </si>
  <si>
    <t>Preprint/Conference</t>
  </si>
  <si>
    <t>GPT-4V, YOLO (object detection)</t>
  </si>
  <si>
    <t>Attention, context-aware explanation</t>
  </si>
  <si>
    <t>Eye-tracking and object detection safety scenarios</t>
  </si>
  <si>
    <t>Safety event detection rate, context accuracy</t>
  </si>
  <si>
    <t>Explores context-aware safety systems combining eye-tracking, object detection, and LLM reasoning</t>
  </si>
  <si>
    <t>Preliminary design exploration; no full-system evaluation</t>
  </si>
  <si>
    <t>Cited for real-time perceptual transparency and context-aware safety in robotics</t>
  </si>
  <si>
    <t>Understandable and Trustworthy Explainable Robots: A Sensemaking Perspective</t>
  </si>
  <si>
    <t>Papagni &amp; Koeszegi</t>
  </si>
  <si>
    <t>Paladyn Journal of Behavioral Robotics</t>
  </si>
  <si>
    <t>Sensemaking-based explanation framework</t>
  </si>
  <si>
    <t>HRI user study datasets</t>
  </si>
  <si>
    <t>Sensemaking quality, trust, comprehension</t>
  </si>
  <si>
    <t>Applies sensemaking theory to explainable robotics; user mental model alignment as trust mechanism</t>
  </si>
  <si>
    <t>Theoretical framework; limited empirical robotics validation</t>
  </si>
  <si>
    <t>Cited in robotics for autonomous transparency subsection</t>
  </si>
  <si>
    <t>Explainable AI for Autonomous Driving: A Comprehensive Overview and Field Guide</t>
  </si>
  <si>
    <t>Atakishiyev et al.</t>
  </si>
  <si>
    <t>CNN, LSTM, Transformer, RL agents</t>
  </si>
  <si>
    <t>Grad-CAM, LIME, SHAP, attention, counterfactuals</t>
  </si>
  <si>
    <t>Autonomous driving datasets (KITTI, nuScenes)</t>
  </si>
  <si>
    <t>Safety rate, explanation quality, task accuracy</t>
  </si>
  <si>
    <t>Comprehensive XAI survey for autonomous driving; covers perception, planning, and control explanation</t>
  </si>
  <si>
    <t>Rapidly evolving domain; real-time XAI for driving remains unsolved</t>
  </si>
  <si>
    <t>Cited in robotics autonomous robots subsection</t>
  </si>
  <si>
    <t>A Survey and Critique of Techniques for Extracting Rules from Trained Artificial Neural Networks</t>
  </si>
  <si>
    <t>Andrews et al.</t>
  </si>
  <si>
    <t>Knowledge-Based Systems</t>
  </si>
  <si>
    <t>Multi-layer perceptrons</t>
  </si>
  <si>
    <t>Rule extraction from neural networks</t>
  </si>
  <si>
    <t>Standard classification datasets</t>
  </si>
  <si>
    <t>Rule fidelity, accuracy, comprehensibility</t>
  </si>
  <si>
    <t>Foundational survey of neural network rule extraction; establishes fidelity and comprehensibility criteria</t>
  </si>
  <si>
    <t>Predates modern deep architectures; limited scalability to deep networks</t>
  </si>
  <si>
    <t>Cited for rule-based explanations in autonomous robotics</t>
  </si>
  <si>
    <t>Explainable Robotic Systems: Understanding Goal-Driven Actions in a Reinforcement Learning Scenario</t>
  </si>
  <si>
    <t>Cruz et al.</t>
  </si>
  <si>
    <t>Neural Computing and Applications</t>
  </si>
  <si>
    <t>Deep RL agent (DQN-based)</t>
  </si>
  <si>
    <t>Policy summaries, reward attribution, saliency</t>
  </si>
  <si>
    <t>Post-Hoc, Model-Specific</t>
  </si>
  <si>
    <t>Robotic navigation simulation environment</t>
  </si>
  <si>
    <t>Task success rate, explanation fidelity, human comprehension</t>
  </si>
  <si>
    <t>Introduces framework for explaining goal-driven robot actions in RL; policy summary with reward attribution</t>
  </si>
  <si>
    <t>Simulation-only; explanation quality assessed with limited user cohort</t>
  </si>
  <si>
    <t>Cited in robotics interpretable learning for robotic control subsection</t>
  </si>
  <si>
    <t>Data-driven Model for Seismic Assessment, Design, and Retrofit of Structures Using XAI</t>
  </si>
  <si>
    <t>Shabbir et al.</t>
  </si>
  <si>
    <t>Computer-Aided Civil and Infrastructure Engineering</t>
  </si>
  <si>
    <t>Gradient Boosting, Random Forest</t>
  </si>
  <si>
    <t>SHAP, feature importance</t>
  </si>
  <si>
    <t>Structural engineering seismic datasets</t>
  </si>
  <si>
    <t>Prediction accuracy, SHAP attribution quality</t>
  </si>
  <si>
    <t>Applies XAI to structural safety assessment; bridges engineering AI and explainability for physical systems</t>
  </si>
  <si>
    <t>Domain-specific; limited robotics generalisability</t>
  </si>
  <si>
    <t>Cited in robotics safety-critical collaboration subsection</t>
  </si>
  <si>
    <t>Algorithms for Inverse Reinforcement Learning</t>
  </si>
  <si>
    <t>Ng &amp; Russell</t>
  </si>
  <si>
    <t>IRL agent (tabular and linear)</t>
  </si>
  <si>
    <t>Policy summaries, reward function inference</t>
  </si>
  <si>
    <t>Grid-world, robotic locomotion environments</t>
  </si>
  <si>
    <t>Reward recovery accuracy, policy similarity</t>
  </si>
  <si>
    <t>Introduces inverse reinforcement learning for inferring reward functions from expert behaviour</t>
  </si>
  <si>
    <t>Reward ambiguity; computationally expensive for large state spaces</t>
  </si>
  <si>
    <t>Cited for policy summaries (IRL) in robotics and agentic AI control</t>
  </si>
  <si>
    <t>Graying the Black Box: Understanding DQNs</t>
  </si>
  <si>
    <t>Zahavy et al.</t>
  </si>
  <si>
    <t>Semilinear MDPs, behaviour visualisation</t>
  </si>
  <si>
    <t>Game score, explanation fidelity, agent behaviour clusters</t>
  </si>
  <si>
    <t>Introduces semilinear MDP approximation for visualising DQN behaviour; behaviour-based policy interpretation</t>
  </si>
  <si>
    <t>Limited to Atari; visualisation approach does not generalise to continuous action spaces</t>
  </si>
  <si>
    <t>Cited for behaviour visualisation in robotic control</t>
  </si>
  <si>
    <t>Hierarchical Reinforcement Learning with the MAXQ Value Function Decomposition</t>
  </si>
  <si>
    <t>MAXQ hierarchical RL agent</t>
  </si>
  <si>
    <t>Hierarchical task decomposition, sub-policy inspection</t>
  </si>
  <si>
    <t>Taxi grid-world benchmark</t>
  </si>
  <si>
    <t>Task completion, value function accuracy</t>
  </si>
  <si>
    <t>Introduces MAXQ decomposition enabling hierarchical sub-task interpretability in RL</t>
  </si>
  <si>
    <t>Design and coordination complexity; limited to discrete action spaces</t>
  </si>
  <si>
    <t>Cited for hierarchical RL in robotics interpretable control subsection</t>
  </si>
  <si>
    <t>An XAI-based Approach for Reliable Damage Detection in Polymer Composite Structures</t>
  </si>
  <si>
    <t>Azad &amp; Kim</t>
  </si>
  <si>
    <t>Polymer Composites</t>
  </si>
  <si>
    <t>CNN (deep learning for structural inspection)</t>
  </si>
  <si>
    <t>Grad-CAM, saliency maps</t>
  </si>
  <si>
    <t>Polymer composite structural damage dataset</t>
  </si>
  <si>
    <t>Detection accuracy, Grad-CAM localisation quality</t>
  </si>
  <si>
    <t>Applies deep learning with Grad-CAM for explainable structural damage detection in composite materials</t>
  </si>
  <si>
    <t>Specific material domain; limited generalisation to other structural types</t>
  </si>
  <si>
    <t>Cited in robotics safety-critical and collaborative robotics subsection</t>
  </si>
  <si>
    <t>Power to the People: The Role of Humans in Interactive Machine Learning</t>
  </si>
  <si>
    <t>Amershi et al.</t>
  </si>
  <si>
    <t>AI Magazine</t>
  </si>
  <si>
    <t>Interactive ML systems</t>
  </si>
  <si>
    <t>Human-in-the-loop feedback, interactive explanation</t>
  </si>
  <si>
    <t>User study datasets across interactive ML tasks</t>
  </si>
  <si>
    <t>User satisfaction, model improvement rate, trust</t>
  </si>
  <si>
    <t>Surveys human-in-the-loop ML; establishes role of human feedback in model refinement and explanation</t>
  </si>
  <si>
    <t>Predates modern deep interactive learning; limited deep learning coverage</t>
  </si>
  <si>
    <t>Cited for context-aware and collaborative robotics explanation adaptation</t>
  </si>
  <si>
    <t>Sample-efficient Safety Assurances Using Conformal Prediction</t>
  </si>
  <si>
    <t>Luo et al.</t>
  </si>
  <si>
    <t>Conformal prediction over neural planner</t>
  </si>
  <si>
    <t>Conformal risk assessment, safety certificates</t>
  </si>
  <si>
    <t>Autonomous driving and manipulation datasets</t>
  </si>
  <si>
    <t>Safety violation rate, coverage guarantee, efficiency</t>
  </si>
  <si>
    <t>Applies conformal prediction for sample-efficient probabilistic safety certificates in robotic systems</t>
  </si>
  <si>
    <t>Assumption of exchangeability may not hold in non-stationary environments</t>
  </si>
  <si>
    <t>Cited in robotics safety-critical subsection for risk assessment</t>
  </si>
  <si>
    <t>Explainable AI and Advanced Feature Selection for Predicting Gas Concentration in Longwall Mining</t>
  </si>
  <si>
    <t>Chang et al.</t>
  </si>
  <si>
    <t>Gradient Boosting, ensemble</t>
  </si>
  <si>
    <t>SHAP, advanced feature selection</t>
  </si>
  <si>
    <t>Longwall mining sensor dataset</t>
  </si>
  <si>
    <t>Prediction accuracy, SHAP attribution</t>
  </si>
  <si>
    <t>XAI with feature selection for gas concentration prediction in safety-critical mining environment</t>
  </si>
  <si>
    <t>Narrow industrial domain; limited generalisation to other sensor environments</t>
  </si>
  <si>
    <t>Cited in robotics safety-critical and counterfactual safety reasoning subsection</t>
  </si>
  <si>
    <t>DARPAs Explainable Artificial Intelligence (XAI) Program</t>
  </si>
  <si>
    <t>Gunning &amp; Aha</t>
  </si>
  <si>
    <t>ML, DL models across DARPA projects</t>
  </si>
  <si>
    <t>Multiple XAI techniques (program-level)</t>
  </si>
  <si>
    <t>Multiple DARPA benchmark tasks</t>
  </si>
  <si>
    <t>Explanation quality, task performance, trust</t>
  </si>
  <si>
    <t>Describes DARPA XAI programme funding and objectives; catalysed major XAI research including LIME, SHAP successors</t>
  </si>
  <si>
    <t>Government programme overview; not a primary empirical study</t>
  </si>
  <si>
    <t>Cited in robotics ethical/regulatory compliance subsection</t>
  </si>
  <si>
    <t>Does Explainable Artificial Intelligence Improve Human Decision-Making?</t>
  </si>
  <si>
    <t>Alufaisan et al.</t>
  </si>
  <si>
    <t>Classification models</t>
  </si>
  <si>
    <t>SHAP, feature explanation</t>
  </si>
  <si>
    <t>Decision-making user experiment datasets</t>
  </si>
  <si>
    <t>Decision accuracy, trust, over-reliance rate</t>
  </si>
  <si>
    <t>Empirical study finding XAI does not always improve human decisions; reveals over-reliance risk</t>
  </si>
  <si>
    <t>Limited task types; laboratory experiment setting</t>
  </si>
  <si>
    <t>Cited in robotics ethical compliance subsection; relates to trust calibration challenge</t>
  </si>
  <si>
    <t>A Review of ML and XAI Methods in Additive Manufacturing (3D Printing)</t>
  </si>
  <si>
    <t>Ukwaththa et al.</t>
  </si>
  <si>
    <t>Materials Today Communications</t>
  </si>
  <si>
    <t>SHAP, Grad-CAM, attention</t>
  </si>
  <si>
    <t>3D printing process datasets</t>
  </si>
  <si>
    <t>Print quality prediction, attribution accuracy</t>
  </si>
  <si>
    <t>Reviews ML and XAI applications in additive manufacturing; compliance auditing use case</t>
  </si>
  <si>
    <t>Narrow manufacturing domain; limited robustness evaluation</t>
  </si>
  <si>
    <t>Cited in robotics safety-critical compliance auditing subsection</t>
  </si>
  <si>
    <t>Perspectives for Direct Interpretability in Multi-Agent Deep Reinforcement Learning</t>
  </si>
  <si>
    <t>Poupart et al.</t>
  </si>
  <si>
    <t>Multi-agent deep RL systems</t>
  </si>
  <si>
    <t>Direct interpretability, policy decomposition</t>
  </si>
  <si>
    <t>Multi-agent simulation benchmarks</t>
  </si>
  <si>
    <t>Interpretability quality, coordination efficiency</t>
  </si>
  <si>
    <t>Proposes direct interpretability methods for multi-agent deep RL; addresses collective behaviour explanation</t>
  </si>
  <si>
    <t>arXiv preprint; simulation-only validation; scalability to large agent populations untested</t>
  </si>
  <si>
    <t>Cited in agentic AI multi-agent coordination subsection</t>
  </si>
  <si>
    <t>Explicability? Legibility? Predictability? Transparency? Privacy? Security? The Emerging Landscape of Interpretable Agent Behavior</t>
  </si>
  <si>
    <t>Chakraborti et al.</t>
  </si>
  <si>
    <t>ICAPS</t>
  </si>
  <si>
    <t>BDI agents, planning agents</t>
  </si>
  <si>
    <t>Explicability, legibility, predictability framework</t>
  </si>
  <si>
    <t>Automated planning benchmark environments</t>
  </si>
  <si>
    <t>Explicability score, legibility metric, predictability</t>
  </si>
  <si>
    <t>Establishes conceptual taxonomy distinguishing explicability, legibility, predictability, and transparency for agents</t>
  </si>
  <si>
    <t>Theoretical taxonomy; limited empirical validation across agent types</t>
  </si>
  <si>
    <t>Foundational agentic AI XAI conceptual framework cited throughout agentic section</t>
  </si>
  <si>
    <t>Chain-of-Thought Prompting Elicits Reasoning in Large Language Models</t>
  </si>
  <si>
    <t>Wei et al.</t>
  </si>
  <si>
    <t>GPT-3, PaLM, LaMDA</t>
  </si>
  <si>
    <t>Chain-of-thought prompting</t>
  </si>
  <si>
    <t>GSM8K, SVAMP, AQuA maths benchmarks</t>
  </si>
  <si>
    <t>Accuracy on reasoning tasks, chain quality</t>
  </si>
  <si>
    <t>Demonstrates that few-shot chain-of-thought prompting elicits step-by-step reasoning in LLMs</t>
  </si>
  <si>
    <t>Faithfulness of chains to internal computation unverified; requires sufficiently large models</t>
  </si>
  <si>
    <t>Key LLM reasoning transparency reference in agentic AI section</t>
  </si>
  <si>
    <t>Intention-aware Policy Graphs: Answering What, How, and Why in Opaque Agents</t>
  </si>
  <si>
    <t>Gimenez-Abalos et al.</t>
  </si>
  <si>
    <t>RL/Hybrid</t>
  </si>
  <si>
    <t>Opaque RL and planning agents</t>
  </si>
  <si>
    <t>Intention-aware policy graphs</t>
  </si>
  <si>
    <t>Robotic and simulation agent environments</t>
  </si>
  <si>
    <t>Explanation completeness, intention accuracy</t>
  </si>
  <si>
    <t>Introduces intention-aware policy graphs explaining agent what, how, and why; structured goal-directed explanation</t>
  </si>
  <si>
    <t>State space discretisation limits scalability to continuous environments</t>
  </si>
  <si>
    <t>Cited in agentic decision-making XAI subsection</t>
  </si>
  <si>
    <t>Causal Inference in Agentic AI: Bridging Explainability and Dynamic Decision Making</t>
  </si>
  <si>
    <t>Chakrabarty</t>
  </si>
  <si>
    <t>International Journal of Science and Research</t>
  </si>
  <si>
    <t>LLM-based agentic models</t>
  </si>
  <si>
    <t>Structural Causal Models, counterfactual reasoning</t>
  </si>
  <si>
    <t>Agentic AI decision scenario datasets</t>
  </si>
  <si>
    <t>Causal graph validity, counterfactual accuracy</t>
  </si>
  <si>
    <t>Bridges causal inference and agentic XAI; structural causal models for dynamic decision explanation</t>
  </si>
  <si>
    <t>Low-tier journal; primarily conceptual; limited empirical validation</t>
  </si>
  <si>
    <t>Cited in agentic decision-making XAI for structural causal model discussion</t>
  </si>
  <si>
    <t>Optimizing Multi-Agent System Swarm Performance Through Explainable AI</t>
  </si>
  <si>
    <t>Mahmud et al.</t>
  </si>
  <si>
    <t>ICMRE (IEEE)</t>
  </si>
  <si>
    <t>ML/RL</t>
  </si>
  <si>
    <t>Multi-agent swarm systems</t>
  </si>
  <si>
    <t>SHAP-enhanced Bayesian optimisation</t>
  </si>
  <si>
    <t>Swarm simulation benchmark</t>
  </si>
  <si>
    <t>Swarm performance metrics, SHAP attribution</t>
  </si>
  <si>
    <t>Applies SHAP-enhanced Bayesian optimisation to attribute collective swarm performance to individual agent roles</t>
  </si>
  <si>
    <t>Simulation-only; scalability to large heterogeneous swarms not evaluated</t>
  </si>
  <si>
    <t>Agentic AI Framework for Cloudburst Prediction and Coordinated Response</t>
  </si>
  <si>
    <t>LLM-based multi-agent system</t>
  </si>
  <si>
    <t>Blackboard architecture, shared-state transparency</t>
  </si>
  <si>
    <t>Meteorological and disaster response datasets</t>
  </si>
  <si>
    <t>Prediction accuracy, response coordination quality</t>
  </si>
  <si>
    <t>Proposes multi-agent agentic framework for cloudburst prediction with transparent blackboard coordination</t>
  </si>
  <si>
    <t>arXiv preprint; real-world deployment not validated</t>
  </si>
  <si>
    <t>Cited for blackboard architectures in agentic multi-agent coordination</t>
  </si>
  <si>
    <t>Agentic AI Framework for Smart Inventory Replenishment</t>
  </si>
  <si>
    <t>Role-based orchestration, hierarchical accountability</t>
  </si>
  <si>
    <t>Inventory management simulation dataset</t>
  </si>
  <si>
    <t>Replenishment accuracy, agent coordination efficiency</t>
  </si>
  <si>
    <t>Applies role-based hierarchical multi-agent orchestration for smart inventory with traceable accountability</t>
  </si>
  <si>
    <t>arXiv preprint; simulation-based; not deployed in live retail environments</t>
  </si>
  <si>
    <t>Cited in agentic AI multi-agent coordination for role-based orchestration</t>
  </si>
  <si>
    <t>Explainable AI: Evaluating the Objective and Subjective Impacts of XAI on Human-Agent Interaction</t>
  </si>
  <si>
    <t>Silva et al.</t>
  </si>
  <si>
    <t>International Journal of Human-Computer Interaction</t>
  </si>
  <si>
    <t>ML/Hybrid</t>
  </si>
  <si>
    <t>AI decision-making agents</t>
  </si>
  <si>
    <t>Natural language explanations, counterfactuals</t>
  </si>
  <si>
    <t>Human-agent interaction user study datasets</t>
  </si>
  <si>
    <t>Task performance, trust, subjective experience metrics</t>
  </si>
  <si>
    <t>Empirically evaluates objective and subjective impacts of XAI on human-agent interaction; mixed-methods study</t>
  </si>
  <si>
    <t>Limited agent types evaluated; laboratory setting</t>
  </si>
  <si>
    <t>Cited in agentic human-agent interaction subsection for natural language explanations</t>
  </si>
  <si>
    <t>Agentic AI Framework for Individuals with Disabilities and Neurodivergence</t>
  </si>
  <si>
    <t>Natural language explanation, counterfactual</t>
  </si>
  <si>
    <t>Assistive health and daily routine datasets</t>
  </si>
  <si>
    <t>Task completion, accessibility metric, user satisfaction</t>
  </si>
  <si>
    <t>Multi-agent system for neurodivergent and disabled users; natural language and counterfactual XAI for inclusivity</t>
  </si>
  <si>
    <t>arXiv preprint; user evaluation limited; accessibility metrics not standardised</t>
  </si>
  <si>
    <t>Cited in agentic human-agent interaction subsection for accessible explanation</t>
  </si>
  <si>
    <t>A Multimodal Automated Interpretability Agent</t>
  </si>
  <si>
    <t>Shaham et al.</t>
  </si>
  <si>
    <t>LLM-based interpretability agent (multimodal)</t>
  </si>
  <si>
    <t>Multimodal automated explanation generation</t>
  </si>
  <si>
    <t>Vision and language model neuron datasets</t>
  </si>
  <si>
    <t>Explanation precision, automated scoring</t>
  </si>
  <si>
    <t>Proposes automated interpretability agent generating multimodal explanations for neural network components</t>
  </si>
  <si>
    <t>Faithful explanation of all neuron functions not guaranteed; computational overhead</t>
  </si>
  <si>
    <t>Cited in agentic human-agent interaction for multimodal explanation interfaces</t>
  </si>
  <si>
    <t>TRiSM for Agentic AI: A Review of Trust, Risk, and Security Management in LLM-based Agentic Multi-Agent Systems</t>
  </si>
  <si>
    <t>Raza et al.</t>
  </si>
  <si>
    <t>LLM-based multi-agent systems</t>
  </si>
  <si>
    <t>TRiSM governance framework, audit trails</t>
  </si>
  <si>
    <t>LLM agent deployment scenarios</t>
  </si>
  <si>
    <t>Governance compliance, trust score, risk assessment</t>
  </si>
  <si>
    <t>Reviews TRiSM framework integrating explainability, security, privacy, and governance for LLM-based agents</t>
  </si>
  <si>
    <t>arXiv preprint; TRiSM standardisation still evolving</t>
  </si>
  <si>
    <t>Cited in agentic safety and governance subsection for TRiSM frameworks</t>
  </si>
  <si>
    <t>A Blockchain-Monitored Agentic AI Architecture for Trusted Perception-Reasoning-Action Pipelines</t>
  </si>
  <si>
    <t>LLM-based agentic pipeline + blockchain</t>
  </si>
  <si>
    <t>Blockchain audit trail, immutable logging</t>
  </si>
  <si>
    <t>Agentic AI pipeline simulation</t>
  </si>
  <si>
    <t>Audit completeness, accountability coverage, latency</t>
  </si>
  <si>
    <t>Proposes blockchain monitoring for agentic AI pipelines; immutable audit trail for perception-reasoning-action</t>
  </si>
  <si>
    <t>arXiv preprint; blockchain latency overhead in real-time agentic systems not resolved</t>
  </si>
  <si>
    <t>Cited in agentic safety and governance subsection for blockchain audit</t>
  </si>
  <si>
    <t>Agentic AI for Autonomous Defense in Software Supply Chain Security</t>
  </si>
  <si>
    <t>Agentic AI, Cybersecurity</t>
  </si>
  <si>
    <t>LLM-based agentic security system</t>
  </si>
  <si>
    <t>Provenance tracking, vulnerability explanation</t>
  </si>
  <si>
    <t>Software supply chain vulnerability datasets</t>
  </si>
  <si>
    <t>Vulnerability detection rate, provenance accuracy</t>
  </si>
  <si>
    <t>Agentic AI framework for supply chain security beyond provenance to active vulnerability mitigation</t>
  </si>
  <si>
    <t>arXiv preprint; real-world evaluation limited; adversarial robustness untested</t>
  </si>
  <si>
    <t>Cited in agentic governance section for supply chain security agentic deployments</t>
  </si>
  <si>
    <t>FinAgent: An Agentic AI Framework Integrating Personal Finance and Nutrition Planning</t>
  </si>
  <si>
    <t>Natural language explanation, decision trace</t>
  </si>
  <si>
    <t>Personal finance and nutrition datasets</t>
  </si>
  <si>
    <t>User satisfaction, goal achievement, decision accuracy</t>
  </si>
  <si>
    <t>Multi-agent LLM framework integrating personal finance and nutrition; demonstrates governance-aware agentic deployment</t>
  </si>
  <si>
    <t>arXiv preprint; user evaluation small-scale; finance regulatory alignment not addressed</t>
  </si>
  <si>
    <t>Cited in agentic governance section for personal finance agentic deployments</t>
  </si>
  <si>
    <t>AgHealth+: An Agentic AI-enabled IoT Healthcare Framework for Integrated and Privacy-aware Recommendations</t>
  </si>
  <si>
    <t>International Conference on Business and Digital Technology (Springer)</t>
  </si>
  <si>
    <t>Agentic AI, Healthcare</t>
  </si>
  <si>
    <t>LLM-based IoT healthcare agents</t>
  </si>
  <si>
    <t>Privacy-aware recommendation explanation</t>
  </si>
  <si>
    <t>IoT healthcare sensor and patient datasets</t>
  </si>
  <si>
    <t>Recommendation accuracy, privacy compliance, user trust</t>
  </si>
  <si>
    <t>Agentic AI IoT healthcare framework with privacy-aware recommendations; governance-aware design</t>
  </si>
  <si>
    <t>Conference paper; limited large-scale evaluation; IoT deployment constraints not fully addressed</t>
  </si>
  <si>
    <t>Cited in agentic governance section for IoT healthcare agentic deployments</t>
  </si>
  <si>
    <t>Integrating Digital Twins and AI Multi-modal Transformers into Water Resource Management</t>
  </si>
  <si>
    <t>Multimodal transformer + digital twin</t>
  </si>
  <si>
    <t>Multimodal explainability, predictive framework</t>
  </si>
  <si>
    <t>Water resource management sensor datasets</t>
  </si>
  <si>
    <t>Prediction accuracy, leakage detection rate, explanation quality</t>
  </si>
  <si>
    <t>Integrates digital twins with multimodal transformers for explainable water resource management; governance-aware</t>
  </si>
  <si>
    <t>Specific to water management; generalisability to other infrastructure domains requires validation</t>
  </si>
  <si>
    <t>Cited in agentic governance section as governance-aware agentic deployment example</t>
  </si>
  <si>
    <t>Toward Trustworthy Agentic AI: A Multimodal Framework for Preventing Prompt Injection Attacks</t>
  </si>
  <si>
    <t>LLM-based multimodal agentic system</t>
  </si>
  <si>
    <t>Cross-agent sanitisation, provenance tracking</t>
  </si>
  <si>
    <t>Prompt injection attack simulation datasets</t>
  </si>
  <si>
    <t>Attack prevention rate, provenance accuracy</t>
  </si>
  <si>
    <t>Proposes multimodal framework for preventing prompt injection in agentic AI; cross-agent sanitisation</t>
  </si>
  <si>
    <t>arXiv preprint; evaluation on simulated attacks only; real-world adversarial testing needed</t>
  </si>
  <si>
    <t>Cited in agentic safety and governance for cross-agent sanitisation and prompt injection prevention</t>
  </si>
  <si>
    <t>Explainable AI for Reliable Water Demand Forecasting to Increase Trust in Predictions</t>
  </si>
  <si>
    <t>Maussner et al.</t>
  </si>
  <si>
    <t>Water Research</t>
  </si>
  <si>
    <t>Urban water demand time-series dataset</t>
  </si>
  <si>
    <t>Forecasting accuracy, RMSE, SHAP attribution</t>
  </si>
  <si>
    <t>Applies XAI to water demand forecasting; SHAP-based trust improvement in infrastructure predictions</t>
  </si>
  <si>
    <t>Single city dataset; generalisation across water systems not validated</t>
  </si>
  <si>
    <t>Cited in cross-cutting challenges for longitudinal XAI across adaptive systems</t>
  </si>
  <si>
    <t>Additive-Feature-Attribution Methods: A Review on XAI for Fluid Dynamics and Heat Transfer</t>
  </si>
  <si>
    <t>Cremades et al.</t>
  </si>
  <si>
    <t>International Journal of Heat and Fluid Flow</t>
  </si>
  <si>
    <t>CNN, physics-informed neural networks</t>
  </si>
  <si>
    <t>SHAP, LIME, Integrated Gradients</t>
  </si>
  <si>
    <t>CFD and experimental fluid dynamics datasets</t>
  </si>
  <si>
    <t>Attribution accuracy, physical plausibility</t>
  </si>
  <si>
    <t>Reviews additive attribution XAI methods for fluid dynamics; demonstrates XAI beyond classical AI domains</t>
  </si>
  <si>
    <t>Highly specialised engineering domain; limited direct applicability to five core survey domains</t>
  </si>
  <si>
    <t>Cited in cross-cutting challenges as evidence XAI challenge extends to physical engineering systems</t>
  </si>
  <si>
    <t>Explainable AI for Energy Systems Maintenance: A Review on Concepts, Current Techniques, Challenges, and Prospects</t>
  </si>
  <si>
    <t>Shadi et al.</t>
  </si>
  <si>
    <t>Renewable and Sustainable Energy Reviews</t>
  </si>
  <si>
    <t>Energy system maintenance and sensor datasets</t>
  </si>
  <si>
    <t>Fault detection accuracy, attribution quality, maintenance utility</t>
  </si>
  <si>
    <t>Comprehensive XAI review for energy systems maintenance; identifies real-time and longitudinal explanation gaps</t>
  </si>
  <si>
    <t>Energy-specific domain; real-time deployment of XAI remains computationally constrained</t>
  </si>
  <si>
    <t>Cited in cross-cutting challenges for system-level and longitudinal explainability</t>
  </si>
  <si>
    <t>UniT: Multimodal Multitask Learning with a Unified Transformer</t>
  </si>
  <si>
    <t>Hu et al.</t>
  </si>
  <si>
    <t>UniT (unified transformer)</t>
  </si>
  <si>
    <t>Attention analysis, task-specific probing</t>
  </si>
  <si>
    <t>VQA, COCO detection, SNLI-VE multimodal benchmarks</t>
  </si>
  <si>
    <t>Task accuracy per domain, generalisation</t>
  </si>
  <si>
    <t>Unified transformer for simultaneous multimodal multitask learning; single model for vision and language tasks</t>
  </si>
  <si>
    <t>Cross-task explanation not addressed; attention faithfulness caveat applies</t>
  </si>
  <si>
    <t>Cited in cross-modal attribution future research; multimodal architecture reference</t>
  </si>
  <si>
    <t>Scaling Up Visual and Vision-Language Representation Learning with Noisy Text Supervision (ALIGN)</t>
  </si>
  <si>
    <t>Jia et al.</t>
  </si>
  <si>
    <t>ALIGN (dual-encoder vision-language)</t>
  </si>
  <si>
    <t>Cross-modal similarity, embedding visualisation</t>
  </si>
  <si>
    <t>1.8B noisy image-text pairs</t>
  </si>
  <si>
    <t>Zero-shot ImageNet accuracy, retrieval R@1</t>
  </si>
  <si>
    <t>Demonstrates large-scale noisy supervision for vision-language alignment; scales CLIP-like pretraining</t>
  </si>
  <si>
    <t>Cross-modal attribution requires dedicated methods; noisy training data complicates explanation</t>
  </si>
  <si>
    <t>Cited for cross-modal attribution methods in future research section</t>
  </si>
  <si>
    <t>GPT-4 Technical Report</t>
  </si>
  <si>
    <t>OpenAI</t>
  </si>
  <si>
    <t>Agentic AI, All Domains</t>
  </si>
  <si>
    <t>GPT-4</t>
  </si>
  <si>
    <t>Chain-of-thought, tool use, attention</t>
  </si>
  <si>
    <t>Diverse academic and professional benchmarks</t>
  </si>
  <si>
    <t>MMLU, HumanEval, bar exam, medical licensing</t>
  </si>
  <si>
    <t>Introduces GPT-4 multimodal LLM with advanced reasoning; establishes foundation model capability baseline</t>
  </si>
  <si>
    <t>Black-box training; faithfulness of chain-of-thought to internal computation unverified</t>
  </si>
  <si>
    <t>Cited in foundation models future research and multimodal architecture background</t>
  </si>
  <si>
    <t>PaLM: Scaling Language Modeling with Pathways</t>
  </si>
  <si>
    <t>Chowdhery et al.</t>
  </si>
  <si>
    <t>Journal of Machine Learning Research</t>
  </si>
  <si>
    <t>PaLM (540B parameters)</t>
  </si>
  <si>
    <t>Chain-of-thought, few-shot prompting</t>
  </si>
  <si>
    <t>BIG-Bench, SuperGLUE, TriviaQA, GSM8K</t>
  </si>
  <si>
    <t>Few-shot accuracy, reasoning task performance</t>
  </si>
  <si>
    <t>Introduces Pathways-trained 540B LLM achieving state-of-the-art on reasoning; enables chain-of-thought scaling</t>
  </si>
  <si>
    <t>Extreme compute requirement; explanation of emergent capabilities remains unsolved</t>
  </si>
  <si>
    <t>Cited in foundation models future research for large-scale LLM explainability challenge</t>
  </si>
  <si>
    <t>Exploring the Limits of Transfer Learning with a Unified Text-to-Text Transformer (T5)</t>
  </si>
  <si>
    <t>Raffel et al.</t>
  </si>
  <si>
    <t>T5 (Text-to-Text Transfer Transformer)</t>
  </si>
  <si>
    <t>Attention analysis, probing classifiers</t>
  </si>
  <si>
    <t>GLUE, SuperGLUE, CNN/DailyMail, SQuAD</t>
  </si>
  <si>
    <t>GLUE/SuperGLUE score, ROUGE, exact match</t>
  </si>
  <si>
    <t>Unifies NLP tasks as text-to-text; systematic study of transfer learning scaling and architecture choices</t>
  </si>
  <si>
    <t>Attention explanation caveat applies; very large model scale limits deployment transparency</t>
  </si>
  <si>
    <t>Cited in foundation models future research for unified transfer learning XAI challenge</t>
  </si>
  <si>
    <t>N/A  Policy Document</t>
  </si>
  <si>
    <t>N/A  theoretical</t>
  </si>
  <si>
    <t>N/A  conceptual</t>
  </si>
  <si>
    <t>N/A  Methodology</t>
  </si>
  <si>
    <t>N/A  Statistics</t>
  </si>
  <si>
    <t>Pflugers Archiv  European Journal of Physiology</t>
  </si>
  <si>
    <t>Doi</t>
  </si>
  <si>
    <t>N/A (no DOI available)</t>
  </si>
  <si>
    <t>N/A (conference proceedings, no CrossRef DOI)</t>
  </si>
  <si>
    <t>N/A (NeurIPS 2012 proceedings, no CrossRef DOI registered)</t>
  </si>
  <si>
    <t>N/A (ICLR 2014 workshop, no CrossRef DOI)</t>
  </si>
  <si>
    <t>N/A (NeurIPS 2014 proceedings, no CrossRef DOI registered)</t>
  </si>
  <si>
    <t>N/A (NeurIPS 2017 proceedings, no CrossRef DOI registered)</t>
  </si>
  <si>
    <t>N/A (ICLR 2021 proceedings, no CrossRef DOI)</t>
  </si>
  <si>
    <t>N/A (NeurIPS 2020 proceedings, no CrossRef DOI registered)</t>
  </si>
  <si>
    <t>N/A (PMLR/ICML 2021, no CrossRef DOI)</t>
  </si>
  <si>
    <t>N/A (NeurIPS 2022 proceedings, no CrossRef DOI registered)</t>
  </si>
  <si>
    <t>N/A (NeurIPS 2019 proceedings, no CrossRef DOI registered)</t>
  </si>
  <si>
    <t>N/A (PMLR/ICML 2017, no CrossRef DOI registered)</t>
  </si>
  <si>
    <t>N/A (NeurIPS 1996 proceedings, no CrossRef DOI registered)</t>
  </si>
  <si>
    <t>N/A (ICLR 2015 proceedings, no CrossRef DOI)</t>
  </si>
  <si>
    <t>N/A (no CrossRef DOI; SSRN preprint: 10.2139/ssrn.3063289)</t>
  </si>
  <si>
    <t>N/A (no CrossRef DOI for this journal)</t>
  </si>
  <si>
    <t>N/A (no CrossRef DOI available for this preprint)</t>
  </si>
  <si>
    <t>N/A (PMLR/ICML 2000 proceedings, no CrossRef DOI registered)</t>
  </si>
  <si>
    <t>N/A (PMLR/ICML 2016 proceedings, no CrossRef DOI registered)</t>
  </si>
  <si>
    <t>N/A (ICAPS 2019 proceedings, no CrossRef DOI registered)</t>
  </si>
  <si>
    <t>N/A (PMLR/ICML 2024, no CrossRef DOI registered)</t>
  </si>
  <si>
    <t>N/A (PMLR/ICML 2021, no CrossRef DOI registered)</t>
  </si>
  <si>
    <t>N/A (PMLR/ICML 2020, no CrossRef DOI registered)</t>
  </si>
  <si>
    <t>N/A (book no DOI)</t>
  </si>
  <si>
    <t>N/A (blog post no DOI available)</t>
  </si>
  <si>
    <t>N/A (book no DOI available)</t>
  </si>
  <si>
    <t>N/A (ICML workshop paper no CrossRef DOI)</t>
  </si>
  <si>
    <t>N/A (PMLR/ICML 2018 no CrossRef DOI registered)</t>
  </si>
  <si>
    <t>N/A (Springer DOI unconfirmed)</t>
  </si>
  <si>
    <t>N/A (AAMAS 2024 extended abstract, DOI unconfirmed)</t>
  </si>
  <si>
    <t>N/A (IEEE Access 2025, DOI unconfirmed)</t>
  </si>
  <si>
    <t>N/A (NeurIPS 2017, no CrossRef DOI confirmed)</t>
  </si>
  <si>
    <t>N/A (NeurIPS workshop, DOI unconfirmed)</t>
  </si>
  <si>
    <t>N/A (NeurIPS 2000 proceedings, DOI unconfirmed)</t>
  </si>
  <si>
    <t>N/A (CVPR 2022, exact IEEE DOI unconfirmed)</t>
  </si>
  <si>
    <t>N/A (PMLR/CoRL 2023, no CrossRef DOI confirmed)</t>
  </si>
  <si>
    <t>N/A (IEEE Access 2024, exact DOI unconfirmed)</t>
  </si>
  <si>
    <t>N/A (MDPI AI 2025, exact DOI unconfirmed)</t>
  </si>
  <si>
    <t>N/A (2025 paper, exact DOI unconfirmed)</t>
  </si>
  <si>
    <t>N/A (JAIR 2025, exact DOI unconfirmed)</t>
  </si>
  <si>
    <t>N/A (BMVC 2018, no CrossRef DOI confirmed)</t>
  </si>
  <si>
    <t>N/A (ACM HEALTH 2025, exact DOI unconfirmed)</t>
  </si>
  <si>
    <t>N/A (BMC 2025, exact DOI unconfirmed)</t>
  </si>
  <si>
    <t>N/A (CSBJ 2025, exact DOI unconfirmed)</t>
  </si>
  <si>
    <t>N/A (Scientific Reports 2025, exact DOI unconfirmed)</t>
  </si>
  <si>
    <t>N/A (JMIR 2025, exact DOI unconfirmed)</t>
  </si>
  <si>
    <t>N/A (Cluster Computing 2025, exact DOI unconfirmed)</t>
  </si>
  <si>
    <t>N/A (Informatics and Health 2025, exact DOI unconfirmed)</t>
  </si>
  <si>
    <t>N/A (Pflugers Archiv 2025, exact DOI unconfirmed)</t>
  </si>
  <si>
    <t>N/A (EAAI 2025, exact DOI unconfirmed)</t>
  </si>
  <si>
    <t>N/A (WIREs 2025, exact DOI unconfirmed)</t>
  </si>
  <si>
    <t>N/A (AEJ 2025, exact DOI unconfirmed)</t>
  </si>
  <si>
    <t>N/A (Nature Communications 2025, exact DOI unconfirmed)</t>
  </si>
  <si>
    <t>N/A (IJMI 2025, exact DOI unconfirmed)</t>
  </si>
  <si>
    <t>N/A (Results in Engineering 2025, exact DOI unconfirmed)</t>
  </si>
  <si>
    <t>N/A (Frontiers AI 2025, exact DOI unconfirmed)</t>
  </si>
  <si>
    <t>N/A (ACM CSUR 2025, exact DOI unconfirmed)</t>
  </si>
  <si>
    <t>N/A (PPC 2025, exact DOI unconfirmed)</t>
  </si>
  <si>
    <t>N/A (Energy Economics 2025, exact DOI unconfirmed)</t>
  </si>
  <si>
    <t>N/A (CACAIE 2025, exact DOI unconfirmed)</t>
  </si>
  <si>
    <t>N/A (Polymer Composites 2025, exact DOI unconfirmed)</t>
  </si>
  <si>
    <t>N/A (Information Fusion 2025, exact DOI unconfirmed)</t>
  </si>
  <si>
    <t>N/A (ICMRE 2025, IEEE DOI unconfirmed)</t>
  </si>
  <si>
    <t>N/A (Springer conference 2025, DOI unconfirmed)</t>
  </si>
  <si>
    <t>N/A (Water Research 2025, exact DOI unconfirmed)</t>
  </si>
  <si>
    <t>N/A (IJHFF 2025, exact DOI unconfirmed)</t>
  </si>
  <si>
    <t>N/A (RSER 2025, exact DOI unconfirmed)</t>
  </si>
  <si>
    <t>N/A (JMLR 2023, exact DOI unconfirmed)</t>
  </si>
  <si>
    <t>Application Domain
(Healthcare/Finance/
Cybersecurity/Robotics/Agentic AI)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</si>
</sst>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9"/>
      <color rgb="FF404040"/>
      <name val="Arial"/>
      <family val="2"/>
    </font>
    <font>
      <sz val="9"/>
      <color theme="1"/>
      <name val="Arial"/>
      <family val="2"/>
    </font>
    <font>
      <b/>
      <sz val="14"/>
      <color rgb="FFFFFFFF"/>
      <name val="Arial"/>
      <family val="2"/>
    </font>
    <font>
      <b/>
      <sz val="10"/>
      <color theme="0"/>
      <name val="Arial"/>
      <family val="2"/>
    </font>
    <font>
      <b/>
      <sz val="10"/>
      <color rgb="FFFFFFFF"/>
      <name val="Arial"/>
      <family val="2"/>
    </font>
    <font>
      <b/>
      <sz val="9"/>
      <name val="Arial"/>
      <family val="2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F2F3F4"/>
      </patternFill>
    </fill>
    <fill>
      <patternFill patternType="solid">
        <fgColor rgb="FFFFFFFF"/>
      </patternFill>
    </fill>
    <fill>
      <patternFill patternType="solid">
        <fgColor rgb="FF17616B"/>
      </patternFill>
    </fill>
    <fill>
      <patternFill patternType="solid">
        <fgColor rgb="FFF2F3F4"/>
        <bgColor indexed="64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4" borderId="3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wrapText="1"/>
    </xf>
    <xf numFmtId="0" fontId="2" fillId="6" borderId="0" xfId="0" applyFont="1" applyFill="1" applyAlignment="1">
      <alignment horizontal="center" wrapText="1"/>
    </xf>
    <xf numFmtId="0" fontId="0" fillId="0" borderId="0" xfId="0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left" vertical="top" wrapText="1"/>
    </xf>
    <xf numFmtId="0" fontId="1" fillId="6" borderId="2" xfId="0" applyFont="1" applyFill="1" applyBorder="1" applyAlignment="1">
      <alignment horizontal="left" vertical="top" wrapText="1"/>
    </xf>
    <xf numFmtId="0" fontId="2" fillId="4" borderId="3" xfId="0" applyFont="1" applyFill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6" borderId="0" xfId="0" applyFont="1" applyFill="1" applyAlignment="1">
      <alignment vertical="top" wrapText="1"/>
    </xf>
    <xf numFmtId="0" fontId="2" fillId="3" borderId="3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4" borderId="2" xfId="0" applyFont="1" applyFill="1" applyBorder="1" applyAlignment="1">
      <alignment horizontal="left" vertical="center" wrapText="1"/>
    </xf>
    <xf numFmtId="0" fontId="1" fillId="6" borderId="2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wrapText="1"/>
    </xf>
    <xf numFmtId="0" fontId="6" fillId="3" borderId="3" xfId="0" applyFont="1" applyFill="1" applyBorder="1" applyAlignment="1">
      <alignment horizontal="center" wrapText="1"/>
    </xf>
    <xf numFmtId="0" fontId="6" fillId="6" borderId="0" xfId="0" applyFont="1" applyFill="1" applyAlignment="1">
      <alignment horizontal="center" wrapText="1"/>
    </xf>
    <xf numFmtId="0" fontId="7" fillId="0" borderId="0" xfId="0" applyFont="1" applyAlignment="1">
      <alignment horizontal="center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2F3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90"/>
  <sheetViews>
    <sheetView showGridLines="0" tabSelected="1" topLeftCell="A186" zoomScale="96" zoomScaleNormal="102" workbookViewId="0">
      <selection activeCell="B194" sqref="B194"/>
    </sheetView>
  </sheetViews>
  <sheetFormatPr defaultRowHeight="14.4" x14ac:dyDescent="0.3"/>
  <cols>
    <col min="1" max="1" width="9" style="30" customWidth="1"/>
    <col min="2" max="2" width="52" style="24" customWidth="1"/>
    <col min="3" max="3" width="26" style="17" customWidth="1"/>
    <col min="4" max="4" width="8.77734375" style="17" customWidth="1"/>
    <col min="5" max="5" width="30" style="17" customWidth="1"/>
    <col min="6" max="6" width="40.21875" style="17" customWidth="1"/>
    <col min="7" max="7" width="24.6640625" style="17" customWidth="1"/>
    <col min="8" max="8" width="24" style="17" customWidth="1"/>
    <col min="9" max="9" width="26" style="17" customWidth="1"/>
    <col min="10" max="10" width="22.6640625" style="17" customWidth="1"/>
    <col min="11" max="11" width="24" style="17" customWidth="1"/>
    <col min="12" max="12" width="22" customWidth="1"/>
    <col min="13" max="13" width="27.33203125" style="17" customWidth="1"/>
    <col min="14" max="14" width="40.77734375" customWidth="1"/>
    <col min="15" max="15" width="19.6640625" style="17" customWidth="1"/>
    <col min="16" max="16" width="42.88671875" customWidth="1"/>
    <col min="17" max="17" width="33.109375" customWidth="1"/>
    <col min="18" max="18" width="26.44140625" style="7" customWidth="1"/>
  </cols>
  <sheetData>
    <row r="1" spans="1:18" ht="14.4" customHeight="1" x14ac:dyDescent="0.3">
      <c r="A1" s="31" t="s">
        <v>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</row>
    <row r="2" spans="1:18" ht="64.8" customHeight="1" x14ac:dyDescent="0.3">
      <c r="A2" s="8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1854</v>
      </c>
      <c r="G2" s="9" t="s">
        <v>9</v>
      </c>
      <c r="H2" s="9" t="s">
        <v>10</v>
      </c>
      <c r="I2" s="9" t="s">
        <v>11</v>
      </c>
      <c r="J2" s="9" t="s">
        <v>12</v>
      </c>
      <c r="K2" s="9" t="s">
        <v>13</v>
      </c>
      <c r="L2" s="9" t="s">
        <v>14</v>
      </c>
      <c r="M2" s="9" t="s">
        <v>15</v>
      </c>
      <c r="N2" s="9" t="s">
        <v>16</v>
      </c>
      <c r="O2" s="9" t="s">
        <v>17</v>
      </c>
      <c r="P2" s="9" t="s">
        <v>18</v>
      </c>
      <c r="Q2" s="9" t="s">
        <v>5</v>
      </c>
      <c r="R2" s="9" t="s">
        <v>1785</v>
      </c>
    </row>
    <row r="3" spans="1:18" ht="22.8" x14ac:dyDescent="0.3">
      <c r="A3" s="25">
        <v>1</v>
      </c>
      <c r="B3" s="18" t="s">
        <v>36</v>
      </c>
      <c r="C3" s="3" t="s">
        <v>37</v>
      </c>
      <c r="D3" s="3">
        <v>2019</v>
      </c>
      <c r="E3" s="3" t="s">
        <v>38</v>
      </c>
      <c r="F3" s="3" t="s">
        <v>39</v>
      </c>
      <c r="G3" s="3" t="s">
        <v>1779</v>
      </c>
      <c r="H3" s="3" t="s">
        <v>40</v>
      </c>
      <c r="I3" s="3" t="s">
        <v>41</v>
      </c>
      <c r="J3" s="3" t="s">
        <v>21</v>
      </c>
      <c r="K3" s="3" t="s">
        <v>40</v>
      </c>
      <c r="L3" s="10" t="s">
        <v>42</v>
      </c>
      <c r="M3" s="3" t="s">
        <v>43</v>
      </c>
      <c r="N3" s="10" t="s">
        <v>44</v>
      </c>
      <c r="O3" s="3" t="s">
        <v>23</v>
      </c>
      <c r="P3" s="10" t="s">
        <v>45</v>
      </c>
      <c r="Q3" s="10" t="s">
        <v>46</v>
      </c>
      <c r="R3" s="3" t="s">
        <v>1786</v>
      </c>
    </row>
    <row r="4" spans="1:18" ht="22.8" x14ac:dyDescent="0.3">
      <c r="A4" s="26">
        <v>2</v>
      </c>
      <c r="B4" s="19" t="s">
        <v>47</v>
      </c>
      <c r="C4" s="4" t="s">
        <v>48</v>
      </c>
      <c r="D4" s="4">
        <v>2020</v>
      </c>
      <c r="E4" s="4" t="s">
        <v>49</v>
      </c>
      <c r="F4" s="4" t="s">
        <v>39</v>
      </c>
      <c r="G4" s="4" t="s">
        <v>50</v>
      </c>
      <c r="H4" s="4" t="s">
        <v>51</v>
      </c>
      <c r="I4" s="4" t="s">
        <v>52</v>
      </c>
      <c r="J4" s="4" t="s">
        <v>53</v>
      </c>
      <c r="K4" s="4" t="s">
        <v>54</v>
      </c>
      <c r="L4" s="11" t="s">
        <v>55</v>
      </c>
      <c r="M4" s="4" t="s">
        <v>22</v>
      </c>
      <c r="N4" s="11" t="s">
        <v>56</v>
      </c>
      <c r="O4" s="4" t="s">
        <v>23</v>
      </c>
      <c r="P4" s="11" t="s">
        <v>57</v>
      </c>
      <c r="Q4" s="11" t="s">
        <v>58</v>
      </c>
      <c r="R4" s="4" t="str">
        <f>HYPERLINK("https://doi.org/10.1016/j.inffus.2019.12.012","10.1016/j.inffus.2019.12.012")</f>
        <v>10.1016/j.inffus.2019.12.012</v>
      </c>
    </row>
    <row r="5" spans="1:18" ht="34.200000000000003" x14ac:dyDescent="0.3">
      <c r="A5" s="25">
        <v>3</v>
      </c>
      <c r="B5" s="18" t="s">
        <v>59</v>
      </c>
      <c r="C5" s="3" t="s">
        <v>60</v>
      </c>
      <c r="D5" s="3">
        <v>2017</v>
      </c>
      <c r="E5" s="3" t="s">
        <v>61</v>
      </c>
      <c r="F5" s="3" t="s">
        <v>39</v>
      </c>
      <c r="G5" s="3" t="s">
        <v>62</v>
      </c>
      <c r="H5" s="3" t="s">
        <v>63</v>
      </c>
      <c r="I5" s="3" t="s">
        <v>64</v>
      </c>
      <c r="J5" s="3" t="s">
        <v>21</v>
      </c>
      <c r="K5" s="3" t="s">
        <v>65</v>
      </c>
      <c r="L5" s="10" t="s">
        <v>66</v>
      </c>
      <c r="M5" s="3" t="s">
        <v>67</v>
      </c>
      <c r="N5" s="10" t="s">
        <v>68</v>
      </c>
      <c r="O5" s="3" t="s">
        <v>23</v>
      </c>
      <c r="P5" s="10" t="s">
        <v>69</v>
      </c>
      <c r="Q5" s="10" t="s">
        <v>70</v>
      </c>
      <c r="R5" s="3" t="str">
        <f>HYPERLINK("https://doi.org/10.48550/arXiv.1702.08608","10.48550/arXiv.1702.08608")</f>
        <v>10.48550/arXiv.1702.08608</v>
      </c>
    </row>
    <row r="6" spans="1:18" ht="34.200000000000003" x14ac:dyDescent="0.3">
      <c r="A6" s="26">
        <v>4</v>
      </c>
      <c r="B6" s="19" t="s">
        <v>71</v>
      </c>
      <c r="C6" s="4" t="s">
        <v>72</v>
      </c>
      <c r="D6" s="4">
        <v>2019</v>
      </c>
      <c r="E6" s="4" t="s">
        <v>73</v>
      </c>
      <c r="F6" s="4" t="s">
        <v>39</v>
      </c>
      <c r="G6" s="4" t="s">
        <v>74</v>
      </c>
      <c r="H6" s="4" t="s">
        <v>75</v>
      </c>
      <c r="I6" s="4" t="s">
        <v>76</v>
      </c>
      <c r="J6" s="4" t="s">
        <v>21</v>
      </c>
      <c r="K6" s="4" t="s">
        <v>1780</v>
      </c>
      <c r="L6" s="11" t="s">
        <v>77</v>
      </c>
      <c r="M6" s="4" t="s">
        <v>78</v>
      </c>
      <c r="N6" s="11" t="s">
        <v>79</v>
      </c>
      <c r="O6" s="4" t="s">
        <v>23</v>
      </c>
      <c r="P6" s="11" t="s">
        <v>80</v>
      </c>
      <c r="Q6" s="11" t="s">
        <v>81</v>
      </c>
      <c r="R6" s="4" t="str">
        <f>HYPERLINK("https://doi.org/10.1016/j.artint.2018.07.007","10.1016/j.artint.2018.07.007")</f>
        <v>10.1016/j.artint.2018.07.007</v>
      </c>
    </row>
    <row r="7" spans="1:18" ht="32.4" customHeight="1" x14ac:dyDescent="0.3">
      <c r="A7" s="27">
        <v>5</v>
      </c>
      <c r="B7" s="20" t="s">
        <v>82</v>
      </c>
      <c r="C7" s="2" t="s">
        <v>83</v>
      </c>
      <c r="D7" s="2">
        <v>2017</v>
      </c>
      <c r="E7" s="2" t="s">
        <v>84</v>
      </c>
      <c r="F7" s="2" t="s">
        <v>39</v>
      </c>
      <c r="G7" s="2" t="s">
        <v>62</v>
      </c>
      <c r="H7" s="2" t="s">
        <v>85</v>
      </c>
      <c r="I7" s="2" t="s">
        <v>86</v>
      </c>
      <c r="J7" s="2" t="s">
        <v>21</v>
      </c>
      <c r="K7" s="2" t="s">
        <v>87</v>
      </c>
      <c r="L7" s="12" t="s">
        <v>88</v>
      </c>
      <c r="M7" s="2" t="s">
        <v>89</v>
      </c>
      <c r="N7" s="12" t="s">
        <v>90</v>
      </c>
      <c r="O7" s="2" t="s">
        <v>23</v>
      </c>
      <c r="P7" s="12" t="s">
        <v>91</v>
      </c>
      <c r="Q7" s="12" t="s">
        <v>92</v>
      </c>
      <c r="R7" s="2" t="s">
        <v>1791</v>
      </c>
    </row>
    <row r="8" spans="1:18" ht="29.4" customHeight="1" x14ac:dyDescent="0.3">
      <c r="A8" s="28">
        <v>6</v>
      </c>
      <c r="B8" s="21" t="s">
        <v>93</v>
      </c>
      <c r="C8" s="15" t="s">
        <v>94</v>
      </c>
      <c r="D8" s="15">
        <v>2024</v>
      </c>
      <c r="E8" s="15" t="s">
        <v>95</v>
      </c>
      <c r="F8" s="15" t="s">
        <v>39</v>
      </c>
      <c r="G8" s="15" t="s">
        <v>62</v>
      </c>
      <c r="H8" s="15" t="s">
        <v>96</v>
      </c>
      <c r="I8" s="15" t="s">
        <v>20</v>
      </c>
      <c r="J8" s="15" t="s">
        <v>21</v>
      </c>
      <c r="K8" s="15" t="s">
        <v>97</v>
      </c>
      <c r="L8" s="13" t="s">
        <v>98</v>
      </c>
      <c r="M8" s="15" t="s">
        <v>99</v>
      </c>
      <c r="N8" s="13" t="s">
        <v>100</v>
      </c>
      <c r="O8" s="15" t="s">
        <v>23</v>
      </c>
      <c r="P8" s="13" t="s">
        <v>101</v>
      </c>
      <c r="Q8" s="13" t="s">
        <v>102</v>
      </c>
      <c r="R8" s="5" t="s">
        <v>1814</v>
      </c>
    </row>
    <row r="9" spans="1:18" ht="22.8" x14ac:dyDescent="0.3">
      <c r="A9" s="27">
        <v>7</v>
      </c>
      <c r="B9" s="20" t="s">
        <v>103</v>
      </c>
      <c r="C9" s="2" t="s">
        <v>104</v>
      </c>
      <c r="D9" s="2">
        <v>2016</v>
      </c>
      <c r="E9" s="2" t="s">
        <v>105</v>
      </c>
      <c r="F9" s="2" t="s">
        <v>39</v>
      </c>
      <c r="G9" s="2" t="s">
        <v>62</v>
      </c>
      <c r="H9" s="2" t="s">
        <v>106</v>
      </c>
      <c r="I9" s="2" t="s">
        <v>107</v>
      </c>
      <c r="J9" s="2" t="s">
        <v>21</v>
      </c>
      <c r="K9" s="2" t="s">
        <v>108</v>
      </c>
      <c r="L9" s="12" t="s">
        <v>109</v>
      </c>
      <c r="M9" s="2" t="s">
        <v>67</v>
      </c>
      <c r="N9" s="12" t="s">
        <v>110</v>
      </c>
      <c r="O9" s="2" t="s">
        <v>23</v>
      </c>
      <c r="P9" s="12" t="s">
        <v>111</v>
      </c>
      <c r="Q9" s="12" t="s">
        <v>112</v>
      </c>
      <c r="R9" s="1" t="str">
        <f>HYPERLINK("https://doi.org/10.1145/2939672.2939778","10.1145/2939672.2939778")</f>
        <v>10.1145/2939672.2939778</v>
      </c>
    </row>
    <row r="10" spans="1:18" ht="22.8" x14ac:dyDescent="0.3">
      <c r="A10" s="28">
        <v>8</v>
      </c>
      <c r="B10" s="22" t="s">
        <v>113</v>
      </c>
      <c r="C10" s="15" t="s">
        <v>114</v>
      </c>
      <c r="D10" s="15">
        <v>2017</v>
      </c>
      <c r="E10" s="15" t="s">
        <v>115</v>
      </c>
      <c r="F10" s="15" t="s">
        <v>116</v>
      </c>
      <c r="G10" s="15" t="s">
        <v>117</v>
      </c>
      <c r="H10" s="15" t="s">
        <v>118</v>
      </c>
      <c r="I10" s="15" t="s">
        <v>119</v>
      </c>
      <c r="J10" s="15" t="s">
        <v>35</v>
      </c>
      <c r="K10" s="15" t="s">
        <v>120</v>
      </c>
      <c r="L10" s="13" t="s">
        <v>121</v>
      </c>
      <c r="M10" s="15" t="s">
        <v>67</v>
      </c>
      <c r="N10" s="13" t="s">
        <v>122</v>
      </c>
      <c r="O10" s="15" t="s">
        <v>23</v>
      </c>
      <c r="P10" s="13" t="s">
        <v>123</v>
      </c>
      <c r="Q10" s="13" t="s">
        <v>124</v>
      </c>
      <c r="R10" s="5" t="str">
        <f>HYPERLINK("https://doi.org/10.1109/ICCV.2017.74","10.1109/ICCV.2017.74")</f>
        <v>10.1109/ICCV.2017.74</v>
      </c>
    </row>
    <row r="11" spans="1:18" ht="22.8" x14ac:dyDescent="0.3">
      <c r="A11" s="27">
        <v>9</v>
      </c>
      <c r="B11" s="20" t="s">
        <v>125</v>
      </c>
      <c r="C11" s="2" t="s">
        <v>126</v>
      </c>
      <c r="D11" s="2">
        <v>2015</v>
      </c>
      <c r="E11" s="2" t="s">
        <v>127</v>
      </c>
      <c r="F11" s="2" t="s">
        <v>116</v>
      </c>
      <c r="G11" s="2" t="s">
        <v>117</v>
      </c>
      <c r="H11" s="2" t="s">
        <v>128</v>
      </c>
      <c r="I11" s="2" t="s">
        <v>129</v>
      </c>
      <c r="J11" s="2" t="s">
        <v>35</v>
      </c>
      <c r="K11" s="2" t="s">
        <v>130</v>
      </c>
      <c r="L11" s="12" t="s">
        <v>131</v>
      </c>
      <c r="M11" s="2" t="s">
        <v>132</v>
      </c>
      <c r="N11" s="12" t="s">
        <v>133</v>
      </c>
      <c r="O11" s="2" t="s">
        <v>23</v>
      </c>
      <c r="P11" s="12" t="s">
        <v>134</v>
      </c>
      <c r="Q11" s="12" t="s">
        <v>135</v>
      </c>
      <c r="R11" s="1" t="str">
        <f>HYPERLINK("https://doi.org/10.1371/journal.pone.0130140","10.1371/journal.pone.0130140")</f>
        <v>10.1371/journal.pone.0130140</v>
      </c>
    </row>
    <row r="12" spans="1:18" ht="22.8" x14ac:dyDescent="0.3">
      <c r="A12" s="28">
        <v>10</v>
      </c>
      <c r="B12" s="22" t="s">
        <v>136</v>
      </c>
      <c r="C12" s="15" t="s">
        <v>137</v>
      </c>
      <c r="D12" s="15">
        <v>2015</v>
      </c>
      <c r="E12" s="15" t="s">
        <v>105</v>
      </c>
      <c r="F12" s="15" t="s">
        <v>19</v>
      </c>
      <c r="G12" s="15" t="s">
        <v>74</v>
      </c>
      <c r="H12" s="15" t="s">
        <v>138</v>
      </c>
      <c r="I12" s="15" t="s">
        <v>139</v>
      </c>
      <c r="J12" s="15" t="s">
        <v>33</v>
      </c>
      <c r="K12" s="15" t="s">
        <v>140</v>
      </c>
      <c r="L12" s="13" t="s">
        <v>141</v>
      </c>
      <c r="M12" s="15" t="s">
        <v>22</v>
      </c>
      <c r="N12" s="13" t="s">
        <v>142</v>
      </c>
      <c r="O12" s="15" t="s">
        <v>23</v>
      </c>
      <c r="P12" s="13" t="s">
        <v>143</v>
      </c>
      <c r="Q12" s="13" t="s">
        <v>144</v>
      </c>
      <c r="R12" s="5" t="str">
        <f>HYPERLINK("https://doi.org/10.1145/2783258.2788613","10.1145/2783258.2788613")</f>
        <v>10.1145/2783258.2788613</v>
      </c>
    </row>
    <row r="13" spans="1:18" ht="22.8" x14ac:dyDescent="0.3">
      <c r="A13" s="27">
        <v>11</v>
      </c>
      <c r="B13" s="20" t="s">
        <v>145</v>
      </c>
      <c r="C13" s="2" t="s">
        <v>146</v>
      </c>
      <c r="D13" s="2">
        <v>1986</v>
      </c>
      <c r="E13" s="2" t="s">
        <v>147</v>
      </c>
      <c r="F13" s="2" t="s">
        <v>39</v>
      </c>
      <c r="G13" s="2" t="s">
        <v>74</v>
      </c>
      <c r="H13" s="2" t="s">
        <v>148</v>
      </c>
      <c r="I13" s="2" t="s">
        <v>149</v>
      </c>
      <c r="J13" s="2" t="s">
        <v>33</v>
      </c>
      <c r="K13" s="2" t="s">
        <v>150</v>
      </c>
      <c r="L13" s="12" t="s">
        <v>151</v>
      </c>
      <c r="M13" s="2" t="s">
        <v>132</v>
      </c>
      <c r="N13" s="12" t="s">
        <v>152</v>
      </c>
      <c r="O13" s="2" t="s">
        <v>23</v>
      </c>
      <c r="P13" s="12" t="s">
        <v>153</v>
      </c>
      <c r="Q13" s="12" t="s">
        <v>154</v>
      </c>
      <c r="R13" s="1" t="str">
        <f>HYPERLINK("https://doi.org/10.1007/BF00116251","10.1007/BF00116251")</f>
        <v>10.1007/BF00116251</v>
      </c>
    </row>
    <row r="14" spans="1:18" ht="22.8" x14ac:dyDescent="0.3">
      <c r="A14" s="28">
        <v>12</v>
      </c>
      <c r="B14" s="22" t="s">
        <v>155</v>
      </c>
      <c r="C14" s="15" t="s">
        <v>156</v>
      </c>
      <c r="D14" s="15">
        <v>2025</v>
      </c>
      <c r="E14" s="15" t="s">
        <v>157</v>
      </c>
      <c r="F14" s="15" t="s">
        <v>34</v>
      </c>
      <c r="G14" s="15" t="s">
        <v>158</v>
      </c>
      <c r="H14" s="15" t="s">
        <v>159</v>
      </c>
      <c r="I14" s="15" t="s">
        <v>160</v>
      </c>
      <c r="J14" s="15" t="s">
        <v>21</v>
      </c>
      <c r="K14" s="15" t="s">
        <v>1781</v>
      </c>
      <c r="L14" s="13" t="s">
        <v>161</v>
      </c>
      <c r="M14" s="15" t="s">
        <v>43</v>
      </c>
      <c r="N14" s="13" t="s">
        <v>162</v>
      </c>
      <c r="O14" s="15" t="s">
        <v>30</v>
      </c>
      <c r="P14" s="13" t="s">
        <v>163</v>
      </c>
      <c r="Q14" s="13" t="s">
        <v>164</v>
      </c>
      <c r="R14" s="5" t="str">
        <f>HYPERLINK("https://doi.org/10.48550/arXiv.2505.10468","10.48550/arXiv.2505.10468")</f>
        <v>10.48550/arXiv.2505.10468</v>
      </c>
    </row>
    <row r="15" spans="1:18" ht="24" x14ac:dyDescent="0.3">
      <c r="A15" s="27">
        <v>13</v>
      </c>
      <c r="B15" s="20" t="s">
        <v>165</v>
      </c>
      <c r="C15" s="2" t="s">
        <v>166</v>
      </c>
      <c r="D15" s="2">
        <v>2024</v>
      </c>
      <c r="E15" s="2" t="s">
        <v>167</v>
      </c>
      <c r="F15" s="2" t="s">
        <v>34</v>
      </c>
      <c r="G15" s="2" t="s">
        <v>50</v>
      </c>
      <c r="H15" s="2" t="s">
        <v>168</v>
      </c>
      <c r="I15" s="2" t="s">
        <v>169</v>
      </c>
      <c r="J15" s="2" t="s">
        <v>33</v>
      </c>
      <c r="K15" s="2" t="s">
        <v>170</v>
      </c>
      <c r="L15" s="12" t="s">
        <v>171</v>
      </c>
      <c r="M15" s="2" t="s">
        <v>29</v>
      </c>
      <c r="N15" s="12" t="s">
        <v>172</v>
      </c>
      <c r="O15" s="2" t="s">
        <v>30</v>
      </c>
      <c r="P15" s="12" t="s">
        <v>173</v>
      </c>
      <c r="Q15" s="12" t="s">
        <v>174</v>
      </c>
      <c r="R15" s="1" t="s">
        <v>1815</v>
      </c>
    </row>
    <row r="16" spans="1:18" ht="22.8" x14ac:dyDescent="0.3">
      <c r="A16" s="28">
        <v>14</v>
      </c>
      <c r="B16" s="22" t="s">
        <v>175</v>
      </c>
      <c r="C16" s="15" t="s">
        <v>176</v>
      </c>
      <c r="D16" s="15">
        <v>2018</v>
      </c>
      <c r="E16" s="15" t="s">
        <v>6</v>
      </c>
      <c r="F16" s="15" t="s">
        <v>39</v>
      </c>
      <c r="G16" s="15" t="s">
        <v>62</v>
      </c>
      <c r="H16" s="15" t="s">
        <v>177</v>
      </c>
      <c r="I16" s="15" t="s">
        <v>178</v>
      </c>
      <c r="J16" s="15" t="s">
        <v>179</v>
      </c>
      <c r="K16" s="15" t="s">
        <v>180</v>
      </c>
      <c r="L16" s="13" t="s">
        <v>181</v>
      </c>
      <c r="M16" s="15" t="s">
        <v>26</v>
      </c>
      <c r="N16" s="13" t="s">
        <v>182</v>
      </c>
      <c r="O16" s="15" t="s">
        <v>23</v>
      </c>
      <c r="P16" s="13" t="s">
        <v>183</v>
      </c>
      <c r="Q16" s="13" t="s">
        <v>184</v>
      </c>
      <c r="R16" s="5" t="str">
        <f>HYPERLINK("https://doi.org/10.1109/ACCESS.2018.2870052","10.1109/ACCESS.2018.2870052")</f>
        <v>10.1109/ACCESS.2018.2870052</v>
      </c>
    </row>
    <row r="17" spans="1:18" ht="22.8" x14ac:dyDescent="0.3">
      <c r="A17" s="27">
        <v>15</v>
      </c>
      <c r="B17" s="20" t="s">
        <v>185</v>
      </c>
      <c r="C17" s="2" t="s">
        <v>186</v>
      </c>
      <c r="D17" s="2">
        <v>2021</v>
      </c>
      <c r="E17" s="2" t="s">
        <v>187</v>
      </c>
      <c r="F17" s="2" t="s">
        <v>39</v>
      </c>
      <c r="G17" s="2" t="s">
        <v>74</v>
      </c>
      <c r="H17" s="2" t="s">
        <v>188</v>
      </c>
      <c r="I17" s="2" t="s">
        <v>189</v>
      </c>
      <c r="J17" s="2" t="s">
        <v>53</v>
      </c>
      <c r="K17" s="2" t="s">
        <v>190</v>
      </c>
      <c r="L17" s="12" t="s">
        <v>191</v>
      </c>
      <c r="M17" s="2" t="s">
        <v>67</v>
      </c>
      <c r="N17" s="12" t="s">
        <v>192</v>
      </c>
      <c r="O17" s="2" t="s">
        <v>23</v>
      </c>
      <c r="P17" s="12" t="s">
        <v>193</v>
      </c>
      <c r="Q17" s="12" t="s">
        <v>194</v>
      </c>
      <c r="R17" s="1" t="str">
        <f>HYPERLINK("https://doi.org/10.3390/e23010018","10.3390/e23010018")</f>
        <v>10.3390/e23010018</v>
      </c>
    </row>
    <row r="18" spans="1:18" ht="22.8" x14ac:dyDescent="0.3">
      <c r="A18" s="28">
        <v>16</v>
      </c>
      <c r="B18" s="22" t="s">
        <v>195</v>
      </c>
      <c r="C18" s="15" t="s">
        <v>196</v>
      </c>
      <c r="D18" s="15">
        <v>2021</v>
      </c>
      <c r="E18" s="15" t="s">
        <v>197</v>
      </c>
      <c r="F18" s="15" t="s">
        <v>19</v>
      </c>
      <c r="G18" s="15" t="s">
        <v>117</v>
      </c>
      <c r="H18" s="15" t="s">
        <v>198</v>
      </c>
      <c r="I18" s="15" t="s">
        <v>199</v>
      </c>
      <c r="J18" s="15" t="s">
        <v>200</v>
      </c>
      <c r="K18" s="15" t="s">
        <v>201</v>
      </c>
      <c r="L18" s="13" t="s">
        <v>202</v>
      </c>
      <c r="M18" s="15" t="s">
        <v>22</v>
      </c>
      <c r="N18" s="13" t="s">
        <v>203</v>
      </c>
      <c r="O18" s="15" t="s">
        <v>23</v>
      </c>
      <c r="P18" s="13" t="s">
        <v>204</v>
      </c>
      <c r="Q18" s="13" t="s">
        <v>205</v>
      </c>
      <c r="R18" s="5" t="str">
        <f>HYPERLINK("https://doi.org/10.1109/TNNLS.2020.3027314","10.1109/TNNLS.2020.3027314")</f>
        <v>10.1109/TNNLS.2020.3027314</v>
      </c>
    </row>
    <row r="19" spans="1:18" ht="22.8" x14ac:dyDescent="0.3">
      <c r="A19" s="27">
        <v>17</v>
      </c>
      <c r="B19" s="20" t="s">
        <v>206</v>
      </c>
      <c r="C19" s="2" t="s">
        <v>207</v>
      </c>
      <c r="D19" s="2">
        <v>2023</v>
      </c>
      <c r="E19" s="2" t="s">
        <v>49</v>
      </c>
      <c r="F19" s="2" t="s">
        <v>39</v>
      </c>
      <c r="G19" s="2" t="s">
        <v>50</v>
      </c>
      <c r="H19" s="2" t="s">
        <v>208</v>
      </c>
      <c r="I19" s="2" t="s">
        <v>209</v>
      </c>
      <c r="J19" s="2" t="s">
        <v>179</v>
      </c>
      <c r="K19" s="2" t="s">
        <v>210</v>
      </c>
      <c r="L19" s="12" t="s">
        <v>211</v>
      </c>
      <c r="M19" s="2" t="s">
        <v>212</v>
      </c>
      <c r="N19" s="12" t="s">
        <v>213</v>
      </c>
      <c r="O19" s="2" t="s">
        <v>23</v>
      </c>
      <c r="P19" s="12" t="s">
        <v>214</v>
      </c>
      <c r="Q19" s="12" t="s">
        <v>215</v>
      </c>
      <c r="R19" s="1" t="str">
        <f>HYPERLINK("https://doi.org/10.1016/j.inffus.2023.101805","10.1016/j.inffus.2023.101805")</f>
        <v>10.1016/j.inffus.2023.101805</v>
      </c>
    </row>
    <row r="20" spans="1:18" ht="22.8" x14ac:dyDescent="0.3">
      <c r="A20" s="28">
        <v>18</v>
      </c>
      <c r="B20" s="22" t="s">
        <v>216</v>
      </c>
      <c r="C20" s="15" t="s">
        <v>217</v>
      </c>
      <c r="D20" s="15">
        <v>2021</v>
      </c>
      <c r="E20" s="15" t="s">
        <v>218</v>
      </c>
      <c r="F20" s="15" t="s">
        <v>39</v>
      </c>
      <c r="G20" s="15" t="s">
        <v>62</v>
      </c>
      <c r="H20" s="15" t="s">
        <v>219</v>
      </c>
      <c r="I20" s="15" t="s">
        <v>220</v>
      </c>
      <c r="J20" s="15" t="s">
        <v>21</v>
      </c>
      <c r="K20" s="15" t="s">
        <v>221</v>
      </c>
      <c r="L20" s="13" t="s">
        <v>222</v>
      </c>
      <c r="M20" s="15" t="s">
        <v>26</v>
      </c>
      <c r="N20" s="13" t="s">
        <v>223</v>
      </c>
      <c r="O20" s="15" t="s">
        <v>23</v>
      </c>
      <c r="P20" s="13" t="s">
        <v>224</v>
      </c>
      <c r="Q20" s="13" t="s">
        <v>225</v>
      </c>
      <c r="R20" s="5" t="str">
        <f>HYPERLINK("https://doi.org/10.1145/3399424","10.1145/3399424")</f>
        <v>10.1145/3399424</v>
      </c>
    </row>
    <row r="21" spans="1:18" ht="24" x14ac:dyDescent="0.3">
      <c r="A21" s="27">
        <v>19</v>
      </c>
      <c r="B21" s="20" t="s">
        <v>226</v>
      </c>
      <c r="C21" s="2" t="s">
        <v>227</v>
      </c>
      <c r="D21" s="2">
        <v>2025</v>
      </c>
      <c r="E21" s="2" t="s">
        <v>6</v>
      </c>
      <c r="F21" s="2" t="s">
        <v>39</v>
      </c>
      <c r="G21" s="2" t="s">
        <v>50</v>
      </c>
      <c r="H21" s="2" t="s">
        <v>208</v>
      </c>
      <c r="I21" s="2" t="s">
        <v>228</v>
      </c>
      <c r="J21" s="2" t="s">
        <v>179</v>
      </c>
      <c r="K21" s="2" t="s">
        <v>229</v>
      </c>
      <c r="L21" s="12" t="s">
        <v>230</v>
      </c>
      <c r="M21" s="2" t="s">
        <v>26</v>
      </c>
      <c r="N21" s="12" t="s">
        <v>231</v>
      </c>
      <c r="O21" s="2" t="s">
        <v>30</v>
      </c>
      <c r="P21" s="12" t="s">
        <v>232</v>
      </c>
      <c r="Q21" s="12" t="s">
        <v>233</v>
      </c>
      <c r="R21" s="1" t="s">
        <v>1816</v>
      </c>
    </row>
    <row r="22" spans="1:18" ht="22.8" x14ac:dyDescent="0.3">
      <c r="A22" s="28">
        <v>20</v>
      </c>
      <c r="B22" s="22" t="s">
        <v>234</v>
      </c>
      <c r="C22" s="15" t="s">
        <v>235</v>
      </c>
      <c r="D22" s="15">
        <v>2025</v>
      </c>
      <c r="E22" s="15" t="s">
        <v>157</v>
      </c>
      <c r="F22" s="15" t="s">
        <v>39</v>
      </c>
      <c r="G22" s="15" t="s">
        <v>158</v>
      </c>
      <c r="H22" s="15" t="s">
        <v>236</v>
      </c>
      <c r="I22" s="15" t="s">
        <v>237</v>
      </c>
      <c r="J22" s="15" t="s">
        <v>200</v>
      </c>
      <c r="K22" s="15" t="s">
        <v>238</v>
      </c>
      <c r="L22" s="13" t="s">
        <v>239</v>
      </c>
      <c r="M22" s="15" t="s">
        <v>67</v>
      </c>
      <c r="N22" s="13" t="s">
        <v>240</v>
      </c>
      <c r="O22" s="15" t="s">
        <v>30</v>
      </c>
      <c r="P22" s="13" t="s">
        <v>241</v>
      </c>
      <c r="Q22" s="13" t="s">
        <v>242</v>
      </c>
      <c r="R22" s="5" t="str">
        <f>HYPERLINK("https://doi.org/10.48550/arXiv.2501.09967","10.48550/arXiv.2501.09967")</f>
        <v>10.48550/arXiv.2501.09967</v>
      </c>
    </row>
    <row r="23" spans="1:18" ht="24" x14ac:dyDescent="0.3">
      <c r="A23" s="27">
        <v>21</v>
      </c>
      <c r="B23" s="20" t="s">
        <v>243</v>
      </c>
      <c r="C23" s="2" t="s">
        <v>244</v>
      </c>
      <c r="D23" s="2">
        <v>2020</v>
      </c>
      <c r="E23" s="2" t="s">
        <v>245</v>
      </c>
      <c r="F23" s="2" t="s">
        <v>39</v>
      </c>
      <c r="G23" s="2" t="s">
        <v>74</v>
      </c>
      <c r="H23" s="2" t="s">
        <v>246</v>
      </c>
      <c r="I23" s="2" t="s">
        <v>247</v>
      </c>
      <c r="J23" s="2" t="s">
        <v>248</v>
      </c>
      <c r="K23" s="2" t="s">
        <v>249</v>
      </c>
      <c r="L23" s="12" t="s">
        <v>250</v>
      </c>
      <c r="M23" s="2" t="s">
        <v>26</v>
      </c>
      <c r="N23" s="12" t="s">
        <v>251</v>
      </c>
      <c r="O23" s="2" t="s">
        <v>30</v>
      </c>
      <c r="P23" s="12" t="s">
        <v>252</v>
      </c>
      <c r="Q23" s="12" t="s">
        <v>253</v>
      </c>
      <c r="R23" s="1" t="s">
        <v>1787</v>
      </c>
    </row>
    <row r="24" spans="1:18" ht="22.8" x14ac:dyDescent="0.3">
      <c r="A24" s="28">
        <v>22</v>
      </c>
      <c r="B24" s="22" t="s">
        <v>254</v>
      </c>
      <c r="C24" s="15" t="s">
        <v>255</v>
      </c>
      <c r="D24" s="15">
        <v>2021</v>
      </c>
      <c r="E24" s="15" t="s">
        <v>256</v>
      </c>
      <c r="F24" s="15" t="s">
        <v>39</v>
      </c>
      <c r="G24" s="15" t="s">
        <v>1782</v>
      </c>
      <c r="H24" s="15" t="s">
        <v>40</v>
      </c>
      <c r="I24" s="15" t="s">
        <v>257</v>
      </c>
      <c r="J24" s="15" t="s">
        <v>40</v>
      </c>
      <c r="K24" s="15" t="s">
        <v>258</v>
      </c>
      <c r="L24" s="13" t="s">
        <v>259</v>
      </c>
      <c r="M24" s="15" t="s">
        <v>43</v>
      </c>
      <c r="N24" s="13" t="s">
        <v>260</v>
      </c>
      <c r="O24" s="15" t="s">
        <v>23</v>
      </c>
      <c r="P24" s="13" t="s">
        <v>261</v>
      </c>
      <c r="Q24" s="13" t="s">
        <v>262</v>
      </c>
      <c r="R24" s="5" t="str">
        <f>HYPERLINK("https://doi.org/10.1136/bmj.n71","10.1136/bmj.n71")</f>
        <v>10.1136/bmj.n71</v>
      </c>
    </row>
    <row r="25" spans="1:18" ht="22.8" x14ac:dyDescent="0.3">
      <c r="A25" s="27">
        <v>23</v>
      </c>
      <c r="B25" s="20" t="s">
        <v>263</v>
      </c>
      <c r="C25" s="2" t="s">
        <v>264</v>
      </c>
      <c r="D25" s="2">
        <v>1977</v>
      </c>
      <c r="E25" s="2" t="s">
        <v>265</v>
      </c>
      <c r="F25" s="2" t="s">
        <v>39</v>
      </c>
      <c r="G25" s="2" t="s">
        <v>1783</v>
      </c>
      <c r="H25" s="2" t="s">
        <v>40</v>
      </c>
      <c r="I25" s="2" t="s">
        <v>266</v>
      </c>
      <c r="J25" s="2" t="s">
        <v>40</v>
      </c>
      <c r="K25" s="2" t="s">
        <v>267</v>
      </c>
      <c r="L25" s="12" t="s">
        <v>268</v>
      </c>
      <c r="M25" s="2" t="s">
        <v>78</v>
      </c>
      <c r="N25" s="12" t="s">
        <v>269</v>
      </c>
      <c r="O25" s="2" t="s">
        <v>23</v>
      </c>
      <c r="P25" s="12" t="s">
        <v>270</v>
      </c>
      <c r="Q25" s="12" t="s">
        <v>271</v>
      </c>
      <c r="R25" s="1" t="str">
        <f>HYPERLINK("https://doi.org/10.2307/2529310","10.2307/2529310")</f>
        <v>10.2307/2529310</v>
      </c>
    </row>
    <row r="26" spans="1:18" ht="22.8" x14ac:dyDescent="0.3">
      <c r="A26" s="28">
        <v>24</v>
      </c>
      <c r="B26" s="22" t="s">
        <v>272</v>
      </c>
      <c r="C26" s="15" t="s">
        <v>273</v>
      </c>
      <c r="D26" s="15">
        <v>2006</v>
      </c>
      <c r="E26" s="15" t="s">
        <v>274</v>
      </c>
      <c r="F26" s="15" t="s">
        <v>39</v>
      </c>
      <c r="G26" s="15" t="s">
        <v>74</v>
      </c>
      <c r="H26" s="15" t="s">
        <v>275</v>
      </c>
      <c r="I26" s="15" t="s">
        <v>276</v>
      </c>
      <c r="J26" s="15" t="s">
        <v>33</v>
      </c>
      <c r="K26" s="15" t="s">
        <v>190</v>
      </c>
      <c r="L26" s="13" t="s">
        <v>277</v>
      </c>
      <c r="M26" s="15" t="s">
        <v>132</v>
      </c>
      <c r="N26" s="13" t="s">
        <v>278</v>
      </c>
      <c r="O26" s="15" t="s">
        <v>23</v>
      </c>
      <c r="P26" s="13" t="s">
        <v>279</v>
      </c>
      <c r="Q26" s="13" t="s">
        <v>280</v>
      </c>
      <c r="R26" s="5" t="s">
        <v>1809</v>
      </c>
    </row>
    <row r="27" spans="1:18" ht="22.8" x14ac:dyDescent="0.3">
      <c r="A27" s="27">
        <v>25</v>
      </c>
      <c r="B27" s="20" t="s">
        <v>281</v>
      </c>
      <c r="C27" s="2" t="s">
        <v>282</v>
      </c>
      <c r="D27" s="2">
        <v>2016</v>
      </c>
      <c r="E27" s="2" t="s">
        <v>283</v>
      </c>
      <c r="F27" s="2" t="s">
        <v>39</v>
      </c>
      <c r="G27" s="2" t="s">
        <v>117</v>
      </c>
      <c r="H27" s="2" t="s">
        <v>284</v>
      </c>
      <c r="I27" s="2" t="s">
        <v>285</v>
      </c>
      <c r="J27" s="2" t="s">
        <v>35</v>
      </c>
      <c r="K27" s="2" t="s">
        <v>286</v>
      </c>
      <c r="L27" s="12" t="s">
        <v>287</v>
      </c>
      <c r="M27" s="2" t="s">
        <v>132</v>
      </c>
      <c r="N27" s="12" t="s">
        <v>288</v>
      </c>
      <c r="O27" s="2" t="s">
        <v>23</v>
      </c>
      <c r="P27" s="12" t="s">
        <v>289</v>
      </c>
      <c r="Q27" s="12" t="s">
        <v>290</v>
      </c>
      <c r="R27" s="1" t="s">
        <v>1809</v>
      </c>
    </row>
    <row r="28" spans="1:18" ht="22.8" x14ac:dyDescent="0.3">
      <c r="A28" s="28">
        <v>26</v>
      </c>
      <c r="B28" s="22" t="s">
        <v>291</v>
      </c>
      <c r="C28" s="15" t="s">
        <v>292</v>
      </c>
      <c r="D28" s="15">
        <v>2009</v>
      </c>
      <c r="E28" s="15" t="s">
        <v>274</v>
      </c>
      <c r="F28" s="15" t="s">
        <v>39</v>
      </c>
      <c r="G28" s="15" t="s">
        <v>74</v>
      </c>
      <c r="H28" s="15" t="s">
        <v>293</v>
      </c>
      <c r="I28" s="15" t="s">
        <v>294</v>
      </c>
      <c r="J28" s="15" t="s">
        <v>21</v>
      </c>
      <c r="K28" s="15" t="s">
        <v>295</v>
      </c>
      <c r="L28" s="13" t="s">
        <v>296</v>
      </c>
      <c r="M28" s="15" t="s">
        <v>99</v>
      </c>
      <c r="N28" s="13" t="s">
        <v>297</v>
      </c>
      <c r="O28" s="15" t="s">
        <v>23</v>
      </c>
      <c r="P28" s="13" t="s">
        <v>298</v>
      </c>
      <c r="Q28" s="13" t="s">
        <v>299</v>
      </c>
      <c r="R28" s="5" t="s">
        <v>1809</v>
      </c>
    </row>
    <row r="29" spans="1:18" ht="22.8" x14ac:dyDescent="0.3">
      <c r="A29" s="27">
        <v>27</v>
      </c>
      <c r="B29" s="20" t="s">
        <v>300</v>
      </c>
      <c r="C29" s="2" t="s">
        <v>301</v>
      </c>
      <c r="D29" s="2">
        <v>1995</v>
      </c>
      <c r="E29" s="2" t="s">
        <v>147</v>
      </c>
      <c r="F29" s="2" t="s">
        <v>39</v>
      </c>
      <c r="G29" s="2" t="s">
        <v>74</v>
      </c>
      <c r="H29" s="2" t="s">
        <v>302</v>
      </c>
      <c r="I29" s="2" t="s">
        <v>303</v>
      </c>
      <c r="J29" s="2" t="s">
        <v>33</v>
      </c>
      <c r="K29" s="2" t="s">
        <v>304</v>
      </c>
      <c r="L29" s="12" t="s">
        <v>305</v>
      </c>
      <c r="M29" s="2" t="s">
        <v>132</v>
      </c>
      <c r="N29" s="12" t="s">
        <v>306</v>
      </c>
      <c r="O29" s="2" t="s">
        <v>23</v>
      </c>
      <c r="P29" s="12" t="s">
        <v>307</v>
      </c>
      <c r="Q29" s="12" t="s">
        <v>308</v>
      </c>
      <c r="R29" s="1" t="str">
        <f>HYPERLINK("https://doi.org/10.1007/BF00994018","10.1007/BF00994018")</f>
        <v>10.1007/BF00994018</v>
      </c>
    </row>
    <row r="30" spans="1:18" ht="22.8" x14ac:dyDescent="0.3">
      <c r="A30" s="28">
        <v>28</v>
      </c>
      <c r="B30" s="22" t="s">
        <v>309</v>
      </c>
      <c r="C30" s="15" t="s">
        <v>310</v>
      </c>
      <c r="D30" s="15">
        <v>2001</v>
      </c>
      <c r="E30" s="15" t="s">
        <v>147</v>
      </c>
      <c r="F30" s="15" t="s">
        <v>39</v>
      </c>
      <c r="G30" s="15" t="s">
        <v>74</v>
      </c>
      <c r="H30" s="15" t="s">
        <v>311</v>
      </c>
      <c r="I30" s="15" t="s">
        <v>312</v>
      </c>
      <c r="J30" s="15" t="s">
        <v>33</v>
      </c>
      <c r="K30" s="15" t="s">
        <v>313</v>
      </c>
      <c r="L30" s="13" t="s">
        <v>314</v>
      </c>
      <c r="M30" s="15" t="s">
        <v>99</v>
      </c>
      <c r="N30" s="13" t="s">
        <v>315</v>
      </c>
      <c r="O30" s="15" t="s">
        <v>23</v>
      </c>
      <c r="P30" s="13" t="s">
        <v>316</v>
      </c>
      <c r="Q30" s="13" t="s">
        <v>317</v>
      </c>
      <c r="R30" s="5" t="str">
        <f>HYPERLINK("https://doi.org/10.1023/A:1010933404324","10.1023/A:1010933404324")</f>
        <v>10.1023/A:1010933404324</v>
      </c>
    </row>
    <row r="31" spans="1:18" ht="22.8" x14ac:dyDescent="0.3">
      <c r="A31" s="27">
        <v>29</v>
      </c>
      <c r="B31" s="20" t="s">
        <v>318</v>
      </c>
      <c r="C31" s="2" t="s">
        <v>319</v>
      </c>
      <c r="D31" s="2">
        <v>2016</v>
      </c>
      <c r="E31" s="2" t="s">
        <v>105</v>
      </c>
      <c r="F31" s="2" t="s">
        <v>39</v>
      </c>
      <c r="G31" s="2" t="s">
        <v>74</v>
      </c>
      <c r="H31" s="2" t="s">
        <v>320</v>
      </c>
      <c r="I31" s="2" t="s">
        <v>321</v>
      </c>
      <c r="J31" s="2" t="s">
        <v>21</v>
      </c>
      <c r="K31" s="2" t="s">
        <v>322</v>
      </c>
      <c r="L31" s="12" t="s">
        <v>323</v>
      </c>
      <c r="M31" s="2" t="s">
        <v>324</v>
      </c>
      <c r="N31" s="12" t="s">
        <v>325</v>
      </c>
      <c r="O31" s="2" t="s">
        <v>23</v>
      </c>
      <c r="P31" s="12" t="s">
        <v>326</v>
      </c>
      <c r="Q31" s="12" t="s">
        <v>327</v>
      </c>
      <c r="R31" s="1" t="str">
        <f>HYPERLINK("https://doi.org/10.1145/2939672.2939785","10.1145/2939672.2939785")</f>
        <v>10.1145/2939672.2939785</v>
      </c>
    </row>
    <row r="32" spans="1:18" ht="24" x14ac:dyDescent="0.3">
      <c r="A32" s="28">
        <v>30</v>
      </c>
      <c r="B32" s="22" t="s">
        <v>328</v>
      </c>
      <c r="C32" s="15" t="s">
        <v>329</v>
      </c>
      <c r="D32" s="15">
        <v>2017</v>
      </c>
      <c r="E32" s="15" t="s">
        <v>84</v>
      </c>
      <c r="F32" s="15" t="s">
        <v>39</v>
      </c>
      <c r="G32" s="15" t="s">
        <v>74</v>
      </c>
      <c r="H32" s="15" t="s">
        <v>330</v>
      </c>
      <c r="I32" s="15" t="s">
        <v>321</v>
      </c>
      <c r="J32" s="15" t="s">
        <v>21</v>
      </c>
      <c r="K32" s="15" t="s">
        <v>331</v>
      </c>
      <c r="L32" s="13" t="s">
        <v>332</v>
      </c>
      <c r="M32" s="15" t="s">
        <v>324</v>
      </c>
      <c r="N32" s="13" t="s">
        <v>333</v>
      </c>
      <c r="O32" s="15" t="s">
        <v>23</v>
      </c>
      <c r="P32" s="13" t="s">
        <v>334</v>
      </c>
      <c r="Q32" s="13" t="s">
        <v>335</v>
      </c>
      <c r="R32" s="5" t="s">
        <v>1817</v>
      </c>
    </row>
    <row r="33" spans="1:18" ht="24" x14ac:dyDescent="0.3">
      <c r="A33" s="27">
        <v>31</v>
      </c>
      <c r="B33" s="20" t="s">
        <v>336</v>
      </c>
      <c r="C33" s="2" t="s">
        <v>337</v>
      </c>
      <c r="D33" s="2">
        <v>2018</v>
      </c>
      <c r="E33" s="2" t="s">
        <v>84</v>
      </c>
      <c r="F33" s="2" t="s">
        <v>39</v>
      </c>
      <c r="G33" s="2" t="s">
        <v>74</v>
      </c>
      <c r="H33" s="2" t="s">
        <v>338</v>
      </c>
      <c r="I33" s="2" t="s">
        <v>339</v>
      </c>
      <c r="J33" s="2" t="s">
        <v>21</v>
      </c>
      <c r="K33" s="2" t="s">
        <v>340</v>
      </c>
      <c r="L33" s="12" t="s">
        <v>341</v>
      </c>
      <c r="M33" s="2" t="s">
        <v>324</v>
      </c>
      <c r="N33" s="12" t="s">
        <v>342</v>
      </c>
      <c r="O33" s="2" t="s">
        <v>23</v>
      </c>
      <c r="P33" s="12" t="s">
        <v>343</v>
      </c>
      <c r="Q33" s="12" t="s">
        <v>344</v>
      </c>
      <c r="R33" s="1" t="s">
        <v>1818</v>
      </c>
    </row>
    <row r="34" spans="1:18" ht="22.8" x14ac:dyDescent="0.3">
      <c r="A34" s="28">
        <v>32</v>
      </c>
      <c r="B34" s="22" t="s">
        <v>345</v>
      </c>
      <c r="C34" s="15" t="s">
        <v>346</v>
      </c>
      <c r="D34" s="15">
        <v>1997</v>
      </c>
      <c r="E34" s="15" t="s">
        <v>347</v>
      </c>
      <c r="F34" s="15" t="s">
        <v>39</v>
      </c>
      <c r="G34" s="15" t="s">
        <v>74</v>
      </c>
      <c r="H34" s="15" t="s">
        <v>348</v>
      </c>
      <c r="I34" s="15" t="s">
        <v>349</v>
      </c>
      <c r="J34" s="15" t="s">
        <v>33</v>
      </c>
      <c r="K34" s="15" t="s">
        <v>350</v>
      </c>
      <c r="L34" s="13" t="s">
        <v>351</v>
      </c>
      <c r="M34" s="15" t="s">
        <v>132</v>
      </c>
      <c r="N34" s="13" t="s">
        <v>352</v>
      </c>
      <c r="O34" s="15" t="s">
        <v>23</v>
      </c>
      <c r="P34" s="13" t="s">
        <v>353</v>
      </c>
      <c r="Q34" s="13" t="s">
        <v>354</v>
      </c>
      <c r="R34" s="5" t="str">
        <f>HYPERLINK("https://doi.org/10.1006/jcss.1997.1504","10.1006/jcss.1997.1504")</f>
        <v>10.1006/jcss.1997.1504</v>
      </c>
    </row>
    <row r="35" spans="1:18" ht="22.8" x14ac:dyDescent="0.3">
      <c r="A35" s="27">
        <v>33</v>
      </c>
      <c r="B35" s="20" t="s">
        <v>355</v>
      </c>
      <c r="C35" s="2" t="s">
        <v>310</v>
      </c>
      <c r="D35" s="2">
        <v>1996</v>
      </c>
      <c r="E35" s="2" t="s">
        <v>147</v>
      </c>
      <c r="F35" s="2" t="s">
        <v>39</v>
      </c>
      <c r="G35" s="2" t="s">
        <v>74</v>
      </c>
      <c r="H35" s="2" t="s">
        <v>356</v>
      </c>
      <c r="I35" s="2" t="s">
        <v>357</v>
      </c>
      <c r="J35" s="2" t="s">
        <v>33</v>
      </c>
      <c r="K35" s="2" t="s">
        <v>358</v>
      </c>
      <c r="L35" s="12" t="s">
        <v>359</v>
      </c>
      <c r="M35" s="2" t="s">
        <v>132</v>
      </c>
      <c r="N35" s="12" t="s">
        <v>360</v>
      </c>
      <c r="O35" s="2" t="s">
        <v>23</v>
      </c>
      <c r="P35" s="12" t="s">
        <v>361</v>
      </c>
      <c r="Q35" s="12" t="s">
        <v>362</v>
      </c>
      <c r="R35" s="1" t="str">
        <f>HYPERLINK("https://doi.org/10.1007/BF00058655","10.1007/BF00058655")</f>
        <v>10.1007/BF00058655</v>
      </c>
    </row>
    <row r="36" spans="1:18" ht="22.8" x14ac:dyDescent="0.3">
      <c r="A36" s="28">
        <v>34</v>
      </c>
      <c r="B36" s="22" t="s">
        <v>363</v>
      </c>
      <c r="C36" s="15" t="s">
        <v>364</v>
      </c>
      <c r="D36" s="15">
        <v>2000</v>
      </c>
      <c r="E36" s="15" t="s">
        <v>365</v>
      </c>
      <c r="F36" s="15" t="s">
        <v>39</v>
      </c>
      <c r="G36" s="15" t="s">
        <v>74</v>
      </c>
      <c r="H36" s="15" t="s">
        <v>366</v>
      </c>
      <c r="I36" s="15" t="s">
        <v>367</v>
      </c>
      <c r="J36" s="15" t="s">
        <v>21</v>
      </c>
      <c r="K36" s="15" t="s">
        <v>368</v>
      </c>
      <c r="L36" s="13" t="s">
        <v>369</v>
      </c>
      <c r="M36" s="15" t="s">
        <v>132</v>
      </c>
      <c r="N36" s="13" t="s">
        <v>370</v>
      </c>
      <c r="O36" s="15" t="s">
        <v>23</v>
      </c>
      <c r="P36" s="13" t="s">
        <v>371</v>
      </c>
      <c r="Q36" s="13" t="s">
        <v>372</v>
      </c>
      <c r="R36" s="5" t="str">
        <f>HYPERLINK("https://doi.org/10.1007/3-540-45014-9_1","10.1007/3-540-45014-9_1")</f>
        <v>10.1007/3-540-45014-9_1</v>
      </c>
    </row>
    <row r="37" spans="1:18" ht="22.8" x14ac:dyDescent="0.3">
      <c r="A37" s="27">
        <v>35</v>
      </c>
      <c r="B37" s="20" t="s">
        <v>373</v>
      </c>
      <c r="C37" s="2" t="s">
        <v>374</v>
      </c>
      <c r="D37" s="2">
        <v>1970</v>
      </c>
      <c r="E37" s="2" t="s">
        <v>375</v>
      </c>
      <c r="F37" s="2" t="s">
        <v>376</v>
      </c>
      <c r="G37" s="2" t="s">
        <v>74</v>
      </c>
      <c r="H37" s="2" t="s">
        <v>377</v>
      </c>
      <c r="I37" s="2" t="s">
        <v>378</v>
      </c>
      <c r="J37" s="2" t="s">
        <v>33</v>
      </c>
      <c r="K37" s="2" t="s">
        <v>379</v>
      </c>
      <c r="L37" s="12" t="s">
        <v>380</v>
      </c>
      <c r="M37" s="2" t="s">
        <v>132</v>
      </c>
      <c r="N37" s="12" t="s">
        <v>381</v>
      </c>
      <c r="O37" s="2" t="s">
        <v>23</v>
      </c>
      <c r="P37" s="12" t="s">
        <v>382</v>
      </c>
      <c r="Q37" s="12" t="s">
        <v>383</v>
      </c>
      <c r="R37" s="1" t="str">
        <f>HYPERLINK("https://doi.org/10.1080/00401706.1970.10488634","10.1080/00401706.1970.10488634")</f>
        <v>10.1080/00401706.1970.10488634</v>
      </c>
    </row>
    <row r="38" spans="1:18" ht="24" x14ac:dyDescent="0.3">
      <c r="A38" s="28">
        <v>36</v>
      </c>
      <c r="B38" s="22" t="s">
        <v>384</v>
      </c>
      <c r="C38" s="15" t="s">
        <v>385</v>
      </c>
      <c r="D38" s="15">
        <v>1996</v>
      </c>
      <c r="E38" s="15" t="s">
        <v>386</v>
      </c>
      <c r="F38" s="15" t="s">
        <v>376</v>
      </c>
      <c r="G38" s="15" t="s">
        <v>74</v>
      </c>
      <c r="H38" s="15" t="s">
        <v>387</v>
      </c>
      <c r="I38" s="15" t="s">
        <v>388</v>
      </c>
      <c r="J38" s="15" t="s">
        <v>33</v>
      </c>
      <c r="K38" s="15" t="s">
        <v>389</v>
      </c>
      <c r="L38" s="13" t="s">
        <v>390</v>
      </c>
      <c r="M38" s="15" t="s">
        <v>99</v>
      </c>
      <c r="N38" s="13" t="s">
        <v>391</v>
      </c>
      <c r="O38" s="15" t="s">
        <v>23</v>
      </c>
      <c r="P38" s="13" t="s">
        <v>392</v>
      </c>
      <c r="Q38" s="13" t="s">
        <v>393</v>
      </c>
      <c r="R38" s="5" t="str">
        <f>HYPERLINK("https://doi.org/10.1111/j.2517-6161.1996.tb02080.x","10.1111/j.2517-6161.1996.tb02080.x")</f>
        <v>10.1111/j.2517-6161.1996.tb02080.x</v>
      </c>
    </row>
    <row r="39" spans="1:18" ht="22.8" x14ac:dyDescent="0.3">
      <c r="A39" s="27">
        <v>37</v>
      </c>
      <c r="B39" s="20" t="s">
        <v>394</v>
      </c>
      <c r="C39" s="2" t="s">
        <v>395</v>
      </c>
      <c r="D39" s="2">
        <v>2005</v>
      </c>
      <c r="E39" s="2" t="s">
        <v>386</v>
      </c>
      <c r="F39" s="2" t="s">
        <v>376</v>
      </c>
      <c r="G39" s="2" t="s">
        <v>74</v>
      </c>
      <c r="H39" s="2" t="s">
        <v>396</v>
      </c>
      <c r="I39" s="2" t="s">
        <v>388</v>
      </c>
      <c r="J39" s="2" t="s">
        <v>33</v>
      </c>
      <c r="K39" s="2" t="s">
        <v>397</v>
      </c>
      <c r="L39" s="12" t="s">
        <v>398</v>
      </c>
      <c r="M39" s="2" t="s">
        <v>99</v>
      </c>
      <c r="N39" s="12" t="s">
        <v>399</v>
      </c>
      <c r="O39" s="2" t="s">
        <v>23</v>
      </c>
      <c r="P39" s="12" t="s">
        <v>400</v>
      </c>
      <c r="Q39" s="12" t="s">
        <v>401</v>
      </c>
      <c r="R39" s="1" t="str">
        <f>HYPERLINK("https://doi.org/10.1111/j.1467-9868.2005.00503.x","10.1111/j.1467-9868.2005.00503.x")</f>
        <v>10.1111/j.1467-9868.2005.00503.x</v>
      </c>
    </row>
    <row r="40" spans="1:18" ht="22.8" x14ac:dyDescent="0.3">
      <c r="A40" s="28">
        <v>38</v>
      </c>
      <c r="B40" s="22" t="s">
        <v>402</v>
      </c>
      <c r="C40" s="15" t="s">
        <v>403</v>
      </c>
      <c r="D40" s="15">
        <v>1988</v>
      </c>
      <c r="E40" s="15" t="s">
        <v>404</v>
      </c>
      <c r="F40" s="15" t="s">
        <v>405</v>
      </c>
      <c r="G40" s="15" t="s">
        <v>74</v>
      </c>
      <c r="H40" s="15" t="s">
        <v>406</v>
      </c>
      <c r="I40" s="15" t="s">
        <v>407</v>
      </c>
      <c r="J40" s="15" t="s">
        <v>33</v>
      </c>
      <c r="K40" s="15" t="s">
        <v>408</v>
      </c>
      <c r="L40" s="13" t="s">
        <v>409</v>
      </c>
      <c r="M40" s="15" t="s">
        <v>29</v>
      </c>
      <c r="N40" s="13" t="s">
        <v>410</v>
      </c>
      <c r="O40" s="15" t="s">
        <v>23</v>
      </c>
      <c r="P40" s="13" t="s">
        <v>411</v>
      </c>
      <c r="Q40" s="13" t="s">
        <v>412</v>
      </c>
      <c r="R40" s="5" t="s">
        <v>1809</v>
      </c>
    </row>
    <row r="41" spans="1:18" ht="22.8" x14ac:dyDescent="0.3">
      <c r="A41" s="27">
        <v>39</v>
      </c>
      <c r="B41" s="20" t="s">
        <v>413</v>
      </c>
      <c r="C41" s="2" t="s">
        <v>414</v>
      </c>
      <c r="D41" s="2">
        <v>1992</v>
      </c>
      <c r="E41" s="2" t="s">
        <v>147</v>
      </c>
      <c r="F41" s="2" t="s">
        <v>415</v>
      </c>
      <c r="G41" s="2" t="s">
        <v>416</v>
      </c>
      <c r="H41" s="2" t="s">
        <v>417</v>
      </c>
      <c r="I41" s="2" t="s">
        <v>418</v>
      </c>
      <c r="J41" s="2" t="s">
        <v>33</v>
      </c>
      <c r="K41" s="2" t="s">
        <v>419</v>
      </c>
      <c r="L41" s="12" t="s">
        <v>420</v>
      </c>
      <c r="M41" s="2" t="s">
        <v>132</v>
      </c>
      <c r="N41" s="12" t="s">
        <v>421</v>
      </c>
      <c r="O41" s="2" t="s">
        <v>23</v>
      </c>
      <c r="P41" s="12" t="s">
        <v>422</v>
      </c>
      <c r="Q41" s="12" t="s">
        <v>423</v>
      </c>
      <c r="R41" s="1" t="str">
        <f>HYPERLINK("https://doi.org/10.1007/BF00992698","10.1007/BF00992698")</f>
        <v>10.1007/BF00992698</v>
      </c>
    </row>
    <row r="42" spans="1:18" ht="22.8" x14ac:dyDescent="0.3">
      <c r="A42" s="28">
        <v>40</v>
      </c>
      <c r="B42" s="22" t="s">
        <v>424</v>
      </c>
      <c r="C42" s="15" t="s">
        <v>425</v>
      </c>
      <c r="D42" s="15">
        <v>2015</v>
      </c>
      <c r="E42" s="15" t="s">
        <v>426</v>
      </c>
      <c r="F42" s="15" t="s">
        <v>415</v>
      </c>
      <c r="G42" s="15" t="s">
        <v>427</v>
      </c>
      <c r="H42" s="15" t="s">
        <v>428</v>
      </c>
      <c r="I42" s="15" t="s">
        <v>429</v>
      </c>
      <c r="J42" s="15" t="s">
        <v>35</v>
      </c>
      <c r="K42" s="15" t="s">
        <v>430</v>
      </c>
      <c r="L42" s="13" t="s">
        <v>431</v>
      </c>
      <c r="M42" s="15" t="s">
        <v>67</v>
      </c>
      <c r="N42" s="13" t="s">
        <v>432</v>
      </c>
      <c r="O42" s="15" t="s">
        <v>23</v>
      </c>
      <c r="P42" s="13" t="s">
        <v>433</v>
      </c>
      <c r="Q42" s="13" t="s">
        <v>434</v>
      </c>
      <c r="R42" s="5" t="str">
        <f>HYPERLINK("https://doi.org/10.1038/nature14236","10.1038/nature14236")</f>
        <v>10.1038/nature14236</v>
      </c>
    </row>
    <row r="43" spans="1:18" ht="22.8" x14ac:dyDescent="0.3">
      <c r="A43" s="27">
        <v>41</v>
      </c>
      <c r="B43" s="20" t="s">
        <v>435</v>
      </c>
      <c r="C43" s="2" t="s">
        <v>436</v>
      </c>
      <c r="D43" s="2">
        <v>2018</v>
      </c>
      <c r="E43" s="2" t="s">
        <v>283</v>
      </c>
      <c r="F43" s="2" t="s">
        <v>415</v>
      </c>
      <c r="G43" s="2" t="s">
        <v>416</v>
      </c>
      <c r="H43" s="2" t="s">
        <v>437</v>
      </c>
      <c r="I43" s="2" t="s">
        <v>438</v>
      </c>
      <c r="J43" s="2" t="s">
        <v>33</v>
      </c>
      <c r="K43" s="2" t="s">
        <v>439</v>
      </c>
      <c r="L43" s="12" t="s">
        <v>440</v>
      </c>
      <c r="M43" s="2" t="s">
        <v>132</v>
      </c>
      <c r="N43" s="12" t="s">
        <v>441</v>
      </c>
      <c r="O43" s="2" t="s">
        <v>23</v>
      </c>
      <c r="P43" s="12" t="s">
        <v>442</v>
      </c>
      <c r="Q43" s="12" t="s">
        <v>443</v>
      </c>
      <c r="R43" s="1" t="s">
        <v>1809</v>
      </c>
    </row>
    <row r="44" spans="1:18" ht="24" x14ac:dyDescent="0.3">
      <c r="A44" s="28">
        <v>42</v>
      </c>
      <c r="B44" s="22" t="s">
        <v>444</v>
      </c>
      <c r="C44" s="15" t="s">
        <v>445</v>
      </c>
      <c r="D44" s="15">
        <v>2000</v>
      </c>
      <c r="E44" s="15" t="s">
        <v>84</v>
      </c>
      <c r="F44" s="15" t="s">
        <v>415</v>
      </c>
      <c r="G44" s="15" t="s">
        <v>416</v>
      </c>
      <c r="H44" s="15" t="s">
        <v>446</v>
      </c>
      <c r="I44" s="15" t="s">
        <v>447</v>
      </c>
      <c r="J44" s="15" t="s">
        <v>33</v>
      </c>
      <c r="K44" s="15" t="s">
        <v>448</v>
      </c>
      <c r="L44" s="13" t="s">
        <v>449</v>
      </c>
      <c r="M44" s="15" t="s">
        <v>132</v>
      </c>
      <c r="N44" s="13" t="s">
        <v>450</v>
      </c>
      <c r="O44" s="15" t="s">
        <v>23</v>
      </c>
      <c r="P44" s="13" t="s">
        <v>451</v>
      </c>
      <c r="Q44" s="13" t="s">
        <v>452</v>
      </c>
      <c r="R44" s="5" t="s">
        <v>1819</v>
      </c>
    </row>
    <row r="45" spans="1:18" ht="24" x14ac:dyDescent="0.3">
      <c r="A45" s="27">
        <v>43</v>
      </c>
      <c r="B45" s="20" t="s">
        <v>453</v>
      </c>
      <c r="C45" s="2" t="s">
        <v>454</v>
      </c>
      <c r="D45" s="2">
        <v>2000</v>
      </c>
      <c r="E45" s="2" t="s">
        <v>84</v>
      </c>
      <c r="F45" s="2" t="s">
        <v>415</v>
      </c>
      <c r="G45" s="2" t="s">
        <v>416</v>
      </c>
      <c r="H45" s="2" t="s">
        <v>455</v>
      </c>
      <c r="I45" s="2" t="s">
        <v>456</v>
      </c>
      <c r="J45" s="2" t="s">
        <v>33</v>
      </c>
      <c r="K45" s="2" t="s">
        <v>457</v>
      </c>
      <c r="L45" s="12" t="s">
        <v>458</v>
      </c>
      <c r="M45" s="2" t="s">
        <v>132</v>
      </c>
      <c r="N45" s="12" t="s">
        <v>459</v>
      </c>
      <c r="O45" s="2" t="s">
        <v>23</v>
      </c>
      <c r="P45" s="12" t="s">
        <v>460</v>
      </c>
      <c r="Q45" s="12" t="s">
        <v>461</v>
      </c>
      <c r="R45" s="1" t="s">
        <v>1819</v>
      </c>
    </row>
    <row r="46" spans="1:18" ht="22.8" x14ac:dyDescent="0.3">
      <c r="A46" s="28">
        <v>44</v>
      </c>
      <c r="B46" s="22" t="s">
        <v>462</v>
      </c>
      <c r="C46" s="15" t="s">
        <v>463</v>
      </c>
      <c r="D46" s="15">
        <v>1998</v>
      </c>
      <c r="E46" s="15" t="s">
        <v>464</v>
      </c>
      <c r="F46" s="15" t="s">
        <v>19</v>
      </c>
      <c r="G46" s="15" t="s">
        <v>117</v>
      </c>
      <c r="H46" s="15" t="s">
        <v>465</v>
      </c>
      <c r="I46" s="15" t="s">
        <v>466</v>
      </c>
      <c r="J46" s="15" t="s">
        <v>35</v>
      </c>
      <c r="K46" s="15" t="s">
        <v>467</v>
      </c>
      <c r="L46" s="13" t="s">
        <v>468</v>
      </c>
      <c r="M46" s="15" t="s">
        <v>132</v>
      </c>
      <c r="N46" s="13" t="s">
        <v>469</v>
      </c>
      <c r="O46" s="15" t="s">
        <v>23</v>
      </c>
      <c r="P46" s="13" t="s">
        <v>470</v>
      </c>
      <c r="Q46" s="13" t="s">
        <v>471</v>
      </c>
      <c r="R46" s="5" t="str">
        <f>HYPERLINK("https://doi.org/10.1109/5.726791","10.1109/5.726791")</f>
        <v>10.1109/5.726791</v>
      </c>
    </row>
    <row r="47" spans="1:18" ht="22.8" x14ac:dyDescent="0.3">
      <c r="A47" s="27">
        <v>45</v>
      </c>
      <c r="B47" s="20" t="s">
        <v>472</v>
      </c>
      <c r="C47" s="2" t="s">
        <v>473</v>
      </c>
      <c r="D47" s="2">
        <v>2015</v>
      </c>
      <c r="E47" s="2" t="s">
        <v>474</v>
      </c>
      <c r="F47" s="2" t="s">
        <v>116</v>
      </c>
      <c r="G47" s="2" t="s">
        <v>117</v>
      </c>
      <c r="H47" s="2" t="s">
        <v>475</v>
      </c>
      <c r="I47" s="2" t="s">
        <v>476</v>
      </c>
      <c r="J47" s="2" t="s">
        <v>35</v>
      </c>
      <c r="K47" s="2" t="s">
        <v>477</v>
      </c>
      <c r="L47" s="12" t="s">
        <v>478</v>
      </c>
      <c r="M47" s="2" t="s">
        <v>132</v>
      </c>
      <c r="N47" s="12" t="s">
        <v>479</v>
      </c>
      <c r="O47" s="2" t="s">
        <v>23</v>
      </c>
      <c r="P47" s="12" t="s">
        <v>480</v>
      </c>
      <c r="Q47" s="12" t="s">
        <v>481</v>
      </c>
      <c r="R47" s="1" t="str">
        <f>HYPERLINK("https://doi.org/10.1109/CVPR.2015.7298594","10.1109/CVPR.2015.7298594")</f>
        <v>10.1109/CVPR.2015.7298594</v>
      </c>
    </row>
    <row r="48" spans="1:18" ht="22.8" x14ac:dyDescent="0.3">
      <c r="A48" s="28">
        <v>46</v>
      </c>
      <c r="B48" s="22" t="s">
        <v>482</v>
      </c>
      <c r="C48" s="15" t="s">
        <v>483</v>
      </c>
      <c r="D48" s="15">
        <v>1990</v>
      </c>
      <c r="E48" s="15" t="s">
        <v>484</v>
      </c>
      <c r="F48" s="15" t="s">
        <v>376</v>
      </c>
      <c r="G48" s="15" t="s">
        <v>117</v>
      </c>
      <c r="H48" s="15" t="s">
        <v>485</v>
      </c>
      <c r="I48" s="15" t="s">
        <v>486</v>
      </c>
      <c r="J48" s="15" t="s">
        <v>33</v>
      </c>
      <c r="K48" s="15" t="s">
        <v>487</v>
      </c>
      <c r="L48" s="13" t="s">
        <v>488</v>
      </c>
      <c r="M48" s="15" t="s">
        <v>132</v>
      </c>
      <c r="N48" s="13" t="s">
        <v>489</v>
      </c>
      <c r="O48" s="15" t="s">
        <v>23</v>
      </c>
      <c r="P48" s="13" t="s">
        <v>490</v>
      </c>
      <c r="Q48" s="13" t="s">
        <v>491</v>
      </c>
      <c r="R48" s="5" t="str">
        <f>HYPERLINK("https://doi.org/10.1207/s15516709cog1402_1","10.1207/s15516709cog1402_1")</f>
        <v>10.1207/s15516709cog1402_1</v>
      </c>
    </row>
    <row r="49" spans="1:18" ht="22.8" x14ac:dyDescent="0.3">
      <c r="A49" s="27">
        <v>47</v>
      </c>
      <c r="B49" s="20" t="s">
        <v>492</v>
      </c>
      <c r="C49" s="2" t="s">
        <v>493</v>
      </c>
      <c r="D49" s="2">
        <v>1997</v>
      </c>
      <c r="E49" s="2" t="s">
        <v>494</v>
      </c>
      <c r="F49" s="2" t="s">
        <v>376</v>
      </c>
      <c r="G49" s="2" t="s">
        <v>117</v>
      </c>
      <c r="H49" s="2" t="s">
        <v>495</v>
      </c>
      <c r="I49" s="2" t="s">
        <v>496</v>
      </c>
      <c r="J49" s="2" t="s">
        <v>35</v>
      </c>
      <c r="K49" s="2" t="s">
        <v>497</v>
      </c>
      <c r="L49" s="12" t="s">
        <v>498</v>
      </c>
      <c r="M49" s="2" t="s">
        <v>132</v>
      </c>
      <c r="N49" s="12" t="s">
        <v>499</v>
      </c>
      <c r="O49" s="2" t="s">
        <v>23</v>
      </c>
      <c r="P49" s="12" t="s">
        <v>500</v>
      </c>
      <c r="Q49" s="12" t="s">
        <v>501</v>
      </c>
      <c r="R49" s="1" t="str">
        <f>HYPERLINK("https://doi.org/10.1162/neco.1997.9.8.1735","10.1162/neco.1997.9.8.1735")</f>
        <v>10.1162/neco.1997.9.8.1735</v>
      </c>
    </row>
    <row r="50" spans="1:18" ht="22.8" x14ac:dyDescent="0.3">
      <c r="A50" s="28">
        <v>48</v>
      </c>
      <c r="B50" s="22" t="s">
        <v>502</v>
      </c>
      <c r="C50" s="15" t="s">
        <v>503</v>
      </c>
      <c r="D50" s="15">
        <v>2014</v>
      </c>
      <c r="E50" s="15" t="s">
        <v>504</v>
      </c>
      <c r="F50" s="15" t="s">
        <v>376</v>
      </c>
      <c r="G50" s="15" t="s">
        <v>117</v>
      </c>
      <c r="H50" s="15" t="s">
        <v>505</v>
      </c>
      <c r="I50" s="15" t="s">
        <v>506</v>
      </c>
      <c r="J50" s="15" t="s">
        <v>35</v>
      </c>
      <c r="K50" s="15" t="s">
        <v>507</v>
      </c>
      <c r="L50" s="13" t="s">
        <v>508</v>
      </c>
      <c r="M50" s="15" t="s">
        <v>132</v>
      </c>
      <c r="N50" s="13" t="s">
        <v>509</v>
      </c>
      <c r="O50" s="15" t="s">
        <v>23</v>
      </c>
      <c r="P50" s="13" t="s">
        <v>510</v>
      </c>
      <c r="Q50" s="13" t="s">
        <v>511</v>
      </c>
      <c r="R50" s="5" t="str">
        <f>HYPERLINK("https://doi.org/10.3115/v1/D14-1179","10.3115/v1/D14-1179")</f>
        <v>10.3115/v1/D14-1179</v>
      </c>
    </row>
    <row r="51" spans="1:18" ht="22.8" x14ac:dyDescent="0.3">
      <c r="A51" s="27">
        <v>49</v>
      </c>
      <c r="B51" s="20" t="s">
        <v>512</v>
      </c>
      <c r="C51" s="2" t="s">
        <v>513</v>
      </c>
      <c r="D51" s="2">
        <v>2016</v>
      </c>
      <c r="E51" s="2" t="s">
        <v>474</v>
      </c>
      <c r="F51" s="2" t="s">
        <v>116</v>
      </c>
      <c r="G51" s="2" t="s">
        <v>117</v>
      </c>
      <c r="H51" s="2" t="s">
        <v>514</v>
      </c>
      <c r="I51" s="2" t="s">
        <v>515</v>
      </c>
      <c r="J51" s="2" t="s">
        <v>35</v>
      </c>
      <c r="K51" s="2" t="s">
        <v>477</v>
      </c>
      <c r="L51" s="12" t="s">
        <v>478</v>
      </c>
      <c r="M51" s="2" t="s">
        <v>132</v>
      </c>
      <c r="N51" s="12" t="s">
        <v>516</v>
      </c>
      <c r="O51" s="2" t="s">
        <v>23</v>
      </c>
      <c r="P51" s="12" t="s">
        <v>517</v>
      </c>
      <c r="Q51" s="12" t="s">
        <v>518</v>
      </c>
      <c r="R51" s="1" t="str">
        <f>HYPERLINK("https://doi.org/10.1109/CVPR.2016.90","10.1109/CVPR.2016.90")</f>
        <v>10.1109/CVPR.2016.90</v>
      </c>
    </row>
    <row r="52" spans="1:18" ht="22.8" x14ac:dyDescent="0.3">
      <c r="A52" s="28">
        <v>50</v>
      </c>
      <c r="B52" s="22" t="s">
        <v>519</v>
      </c>
      <c r="C52" s="15" t="s">
        <v>520</v>
      </c>
      <c r="D52" s="15">
        <v>2017</v>
      </c>
      <c r="E52" s="15" t="s">
        <v>474</v>
      </c>
      <c r="F52" s="15" t="s">
        <v>116</v>
      </c>
      <c r="G52" s="15" t="s">
        <v>117</v>
      </c>
      <c r="H52" s="15" t="s">
        <v>521</v>
      </c>
      <c r="I52" s="15" t="s">
        <v>522</v>
      </c>
      <c r="J52" s="15" t="s">
        <v>35</v>
      </c>
      <c r="K52" s="15" t="s">
        <v>523</v>
      </c>
      <c r="L52" s="13" t="s">
        <v>524</v>
      </c>
      <c r="M52" s="15" t="s">
        <v>132</v>
      </c>
      <c r="N52" s="13" t="s">
        <v>525</v>
      </c>
      <c r="O52" s="15" t="s">
        <v>23</v>
      </c>
      <c r="P52" s="13" t="s">
        <v>526</v>
      </c>
      <c r="Q52" s="13" t="s">
        <v>527</v>
      </c>
      <c r="R52" s="5" t="str">
        <f>HYPERLINK("https://doi.org/10.1109/CVPR.2017.243","10.1109/CVPR.2017.243")</f>
        <v>10.1109/CVPR.2017.243</v>
      </c>
    </row>
    <row r="53" spans="1:18" ht="22.8" x14ac:dyDescent="0.3">
      <c r="A53" s="27">
        <v>51</v>
      </c>
      <c r="B53" s="20" t="s">
        <v>528</v>
      </c>
      <c r="C53" s="2" t="s">
        <v>529</v>
      </c>
      <c r="D53" s="2">
        <v>1986</v>
      </c>
      <c r="E53" s="2" t="s">
        <v>426</v>
      </c>
      <c r="F53" s="2" t="s">
        <v>39</v>
      </c>
      <c r="G53" s="2" t="s">
        <v>117</v>
      </c>
      <c r="H53" s="2" t="s">
        <v>530</v>
      </c>
      <c r="I53" s="2" t="s">
        <v>531</v>
      </c>
      <c r="J53" s="2" t="s">
        <v>35</v>
      </c>
      <c r="K53" s="2" t="s">
        <v>532</v>
      </c>
      <c r="L53" s="12" t="s">
        <v>533</v>
      </c>
      <c r="M53" s="2" t="s">
        <v>132</v>
      </c>
      <c r="N53" s="12" t="s">
        <v>534</v>
      </c>
      <c r="O53" s="2" t="s">
        <v>23</v>
      </c>
      <c r="P53" s="12" t="s">
        <v>535</v>
      </c>
      <c r="Q53" s="12" t="s">
        <v>536</v>
      </c>
      <c r="R53" s="1" t="str">
        <f>HYPERLINK("https://doi.org/10.1038/323533a0","10.1038/323533a0")</f>
        <v>10.1038/323533a0</v>
      </c>
    </row>
    <row r="54" spans="1:18" ht="34.200000000000003" x14ac:dyDescent="0.3">
      <c r="A54" s="28">
        <v>52</v>
      </c>
      <c r="B54" s="22" t="s">
        <v>537</v>
      </c>
      <c r="C54" s="15" t="s">
        <v>538</v>
      </c>
      <c r="D54" s="15">
        <v>2012</v>
      </c>
      <c r="E54" s="15" t="s">
        <v>84</v>
      </c>
      <c r="F54" s="15" t="s">
        <v>116</v>
      </c>
      <c r="G54" s="15" t="s">
        <v>117</v>
      </c>
      <c r="H54" s="15" t="s">
        <v>539</v>
      </c>
      <c r="I54" s="15" t="s">
        <v>540</v>
      </c>
      <c r="J54" s="15" t="s">
        <v>35</v>
      </c>
      <c r="K54" s="15" t="s">
        <v>541</v>
      </c>
      <c r="L54" s="13" t="s">
        <v>478</v>
      </c>
      <c r="M54" s="15" t="s">
        <v>132</v>
      </c>
      <c r="N54" s="13" t="s">
        <v>542</v>
      </c>
      <c r="O54" s="15" t="s">
        <v>23</v>
      </c>
      <c r="P54" s="13" t="s">
        <v>543</v>
      </c>
      <c r="Q54" s="13" t="s">
        <v>544</v>
      </c>
      <c r="R54" s="5" t="s">
        <v>1788</v>
      </c>
    </row>
    <row r="55" spans="1:18" ht="34.200000000000003" x14ac:dyDescent="0.3">
      <c r="A55" s="27">
        <v>53</v>
      </c>
      <c r="B55" s="20" t="s">
        <v>545</v>
      </c>
      <c r="C55" s="2" t="s">
        <v>546</v>
      </c>
      <c r="D55" s="2">
        <v>2014</v>
      </c>
      <c r="E55" s="2" t="s">
        <v>547</v>
      </c>
      <c r="F55" s="2" t="s">
        <v>548</v>
      </c>
      <c r="G55" s="2" t="s">
        <v>117</v>
      </c>
      <c r="H55" s="2" t="s">
        <v>549</v>
      </c>
      <c r="I55" s="2" t="s">
        <v>550</v>
      </c>
      <c r="J55" s="2" t="s">
        <v>35</v>
      </c>
      <c r="K55" s="2" t="s">
        <v>551</v>
      </c>
      <c r="L55" s="12" t="s">
        <v>552</v>
      </c>
      <c r="M55" s="2" t="s">
        <v>132</v>
      </c>
      <c r="N55" s="12" t="s">
        <v>553</v>
      </c>
      <c r="O55" s="2" t="s">
        <v>23</v>
      </c>
      <c r="P55" s="12" t="s">
        <v>554</v>
      </c>
      <c r="Q55" s="12" t="s">
        <v>555</v>
      </c>
      <c r="R55" s="1" t="s">
        <v>1789</v>
      </c>
    </row>
    <row r="56" spans="1:18" ht="34.200000000000003" x14ac:dyDescent="0.3">
      <c r="A56" s="28">
        <v>54</v>
      </c>
      <c r="B56" s="22" t="s">
        <v>556</v>
      </c>
      <c r="C56" s="15" t="s">
        <v>557</v>
      </c>
      <c r="D56" s="15">
        <v>2014</v>
      </c>
      <c r="E56" s="15" t="s">
        <v>84</v>
      </c>
      <c r="F56" s="15" t="s">
        <v>548</v>
      </c>
      <c r="G56" s="15" t="s">
        <v>117</v>
      </c>
      <c r="H56" s="15" t="s">
        <v>558</v>
      </c>
      <c r="I56" s="15" t="s">
        <v>559</v>
      </c>
      <c r="J56" s="15" t="s">
        <v>35</v>
      </c>
      <c r="K56" s="15" t="s">
        <v>560</v>
      </c>
      <c r="L56" s="13" t="s">
        <v>561</v>
      </c>
      <c r="M56" s="15" t="s">
        <v>132</v>
      </c>
      <c r="N56" s="13" t="s">
        <v>562</v>
      </c>
      <c r="O56" s="15" t="s">
        <v>23</v>
      </c>
      <c r="P56" s="13" t="s">
        <v>563</v>
      </c>
      <c r="Q56" s="13" t="s">
        <v>564</v>
      </c>
      <c r="R56" s="5" t="s">
        <v>1790</v>
      </c>
    </row>
    <row r="57" spans="1:18" ht="24" x14ac:dyDescent="0.3">
      <c r="A57" s="27">
        <v>55</v>
      </c>
      <c r="B57" s="20" t="s">
        <v>565</v>
      </c>
      <c r="C57" s="2" t="s">
        <v>566</v>
      </c>
      <c r="D57" s="2">
        <v>2017</v>
      </c>
      <c r="E57" s="2" t="s">
        <v>84</v>
      </c>
      <c r="F57" s="2" t="s">
        <v>39</v>
      </c>
      <c r="G57" s="2" t="s">
        <v>567</v>
      </c>
      <c r="H57" s="2" t="s">
        <v>568</v>
      </c>
      <c r="I57" s="2" t="s">
        <v>506</v>
      </c>
      <c r="J57" s="2" t="s">
        <v>35</v>
      </c>
      <c r="K57" s="2" t="s">
        <v>569</v>
      </c>
      <c r="L57" s="12" t="s">
        <v>570</v>
      </c>
      <c r="M57" s="2" t="s">
        <v>132</v>
      </c>
      <c r="N57" s="12" t="s">
        <v>571</v>
      </c>
      <c r="O57" s="2" t="s">
        <v>23</v>
      </c>
      <c r="P57" s="12" t="s">
        <v>572</v>
      </c>
      <c r="Q57" s="12" t="s">
        <v>573</v>
      </c>
      <c r="R57" s="1" t="s">
        <v>1791</v>
      </c>
    </row>
    <row r="58" spans="1:18" ht="34.200000000000003" x14ac:dyDescent="0.3">
      <c r="A58" s="28">
        <v>56</v>
      </c>
      <c r="B58" s="22" t="s">
        <v>574</v>
      </c>
      <c r="C58" s="15" t="s">
        <v>575</v>
      </c>
      <c r="D58" s="15">
        <v>2018</v>
      </c>
      <c r="E58" s="15" t="s">
        <v>576</v>
      </c>
      <c r="F58" s="15" t="s">
        <v>577</v>
      </c>
      <c r="G58" s="15" t="s">
        <v>578</v>
      </c>
      <c r="H58" s="15" t="s">
        <v>579</v>
      </c>
      <c r="I58" s="15" t="s">
        <v>580</v>
      </c>
      <c r="J58" s="15" t="s">
        <v>35</v>
      </c>
      <c r="K58" s="15" t="s">
        <v>581</v>
      </c>
      <c r="L58" s="13" t="s">
        <v>582</v>
      </c>
      <c r="M58" s="15" t="s">
        <v>67</v>
      </c>
      <c r="N58" s="13" t="s">
        <v>583</v>
      </c>
      <c r="O58" s="15" t="s">
        <v>23</v>
      </c>
      <c r="P58" s="13" t="s">
        <v>584</v>
      </c>
      <c r="Q58" s="13" t="s">
        <v>585</v>
      </c>
      <c r="R58" s="5" t="str">
        <f>HYPERLINK("https://doi.org/10.18653/v1/N19-1423","10.18653/v1/N19-1423")</f>
        <v>10.18653/v1/N19-1423</v>
      </c>
    </row>
    <row r="59" spans="1:18" ht="24" x14ac:dyDescent="0.3">
      <c r="A59" s="27">
        <v>57</v>
      </c>
      <c r="B59" s="20" t="s">
        <v>586</v>
      </c>
      <c r="C59" s="2" t="s">
        <v>587</v>
      </c>
      <c r="D59" s="2">
        <v>2020</v>
      </c>
      <c r="E59" s="2" t="s">
        <v>547</v>
      </c>
      <c r="F59" s="2" t="s">
        <v>116</v>
      </c>
      <c r="G59" s="2" t="s">
        <v>117</v>
      </c>
      <c r="H59" s="2" t="s">
        <v>588</v>
      </c>
      <c r="I59" s="2" t="s">
        <v>589</v>
      </c>
      <c r="J59" s="2" t="s">
        <v>35</v>
      </c>
      <c r="K59" s="2" t="s">
        <v>590</v>
      </c>
      <c r="L59" s="12" t="s">
        <v>591</v>
      </c>
      <c r="M59" s="2" t="s">
        <v>132</v>
      </c>
      <c r="N59" s="12" t="s">
        <v>592</v>
      </c>
      <c r="O59" s="2" t="s">
        <v>23</v>
      </c>
      <c r="P59" s="12" t="s">
        <v>593</v>
      </c>
      <c r="Q59" s="12" t="s">
        <v>594</v>
      </c>
      <c r="R59" s="1" t="s">
        <v>1792</v>
      </c>
    </row>
    <row r="60" spans="1:18" ht="22.8" x14ac:dyDescent="0.3">
      <c r="A60" s="28">
        <v>58</v>
      </c>
      <c r="B60" s="22" t="s">
        <v>595</v>
      </c>
      <c r="C60" s="15" t="s">
        <v>596</v>
      </c>
      <c r="D60" s="15">
        <v>2019</v>
      </c>
      <c r="E60" s="15" t="s">
        <v>597</v>
      </c>
      <c r="F60" s="15" t="s">
        <v>39</v>
      </c>
      <c r="G60" s="15" t="s">
        <v>598</v>
      </c>
      <c r="H60" s="15" t="s">
        <v>599</v>
      </c>
      <c r="I60" s="15" t="s">
        <v>600</v>
      </c>
      <c r="J60" s="15" t="s">
        <v>35</v>
      </c>
      <c r="K60" s="15" t="s">
        <v>601</v>
      </c>
      <c r="L60" s="13" t="s">
        <v>602</v>
      </c>
      <c r="M60" s="15" t="s">
        <v>603</v>
      </c>
      <c r="N60" s="13" t="s">
        <v>604</v>
      </c>
      <c r="O60" s="15" t="s">
        <v>23</v>
      </c>
      <c r="P60" s="13" t="s">
        <v>605</v>
      </c>
      <c r="Q60" s="13" t="s">
        <v>606</v>
      </c>
      <c r="R60" s="5" t="str">
        <f>HYPERLINK("https://doi.org/10.18653/v1/N19-1357","10.18653/v1/N19-1357")</f>
        <v>10.18653/v1/N19-1357</v>
      </c>
    </row>
    <row r="61" spans="1:18" ht="22.8" x14ac:dyDescent="0.3">
      <c r="A61" s="27">
        <v>59</v>
      </c>
      <c r="B61" s="20" t="s">
        <v>607</v>
      </c>
      <c r="C61" s="2" t="s">
        <v>608</v>
      </c>
      <c r="D61" s="2">
        <v>2018</v>
      </c>
      <c r="E61" s="2" t="s">
        <v>609</v>
      </c>
      <c r="F61" s="2" t="s">
        <v>610</v>
      </c>
      <c r="G61" s="2" t="s">
        <v>578</v>
      </c>
      <c r="H61" s="2" t="s">
        <v>611</v>
      </c>
      <c r="I61" s="2" t="s">
        <v>612</v>
      </c>
      <c r="J61" s="2" t="s">
        <v>35</v>
      </c>
      <c r="K61" s="2" t="s">
        <v>613</v>
      </c>
      <c r="L61" s="12" t="s">
        <v>614</v>
      </c>
      <c r="M61" s="2" t="s">
        <v>132</v>
      </c>
      <c r="N61" s="12" t="s">
        <v>615</v>
      </c>
      <c r="O61" s="2" t="s">
        <v>23</v>
      </c>
      <c r="P61" s="12" t="s">
        <v>616</v>
      </c>
      <c r="Q61" s="12" t="s">
        <v>617</v>
      </c>
      <c r="R61" s="1" t="s">
        <v>1810</v>
      </c>
    </row>
    <row r="62" spans="1:18" ht="24" x14ac:dyDescent="0.3">
      <c r="A62" s="28">
        <v>60</v>
      </c>
      <c r="B62" s="22" t="s">
        <v>618</v>
      </c>
      <c r="C62" s="15" t="s">
        <v>619</v>
      </c>
      <c r="D62" s="15">
        <v>2020</v>
      </c>
      <c r="E62" s="15" t="s">
        <v>84</v>
      </c>
      <c r="F62" s="15" t="s">
        <v>610</v>
      </c>
      <c r="G62" s="15" t="s">
        <v>578</v>
      </c>
      <c r="H62" s="15" t="s">
        <v>620</v>
      </c>
      <c r="I62" s="15" t="s">
        <v>621</v>
      </c>
      <c r="J62" s="15" t="s">
        <v>35</v>
      </c>
      <c r="K62" s="15" t="s">
        <v>622</v>
      </c>
      <c r="L62" s="13" t="s">
        <v>623</v>
      </c>
      <c r="M62" s="15" t="s">
        <v>67</v>
      </c>
      <c r="N62" s="13" t="s">
        <v>624</v>
      </c>
      <c r="O62" s="15" t="s">
        <v>23</v>
      </c>
      <c r="P62" s="13" t="s">
        <v>625</v>
      </c>
      <c r="Q62" s="13" t="s">
        <v>626</v>
      </c>
      <c r="R62" s="5" t="s">
        <v>1793</v>
      </c>
    </row>
    <row r="63" spans="1:18" ht="24" x14ac:dyDescent="0.3">
      <c r="A63" s="27">
        <v>61</v>
      </c>
      <c r="B63" s="20" t="s">
        <v>627</v>
      </c>
      <c r="C63" s="2" t="s">
        <v>608</v>
      </c>
      <c r="D63" s="2">
        <v>2021</v>
      </c>
      <c r="E63" s="2" t="s">
        <v>628</v>
      </c>
      <c r="F63" s="2" t="s">
        <v>415</v>
      </c>
      <c r="G63" s="2" t="s">
        <v>567</v>
      </c>
      <c r="H63" s="2" t="s">
        <v>629</v>
      </c>
      <c r="I63" s="2" t="s">
        <v>630</v>
      </c>
      <c r="J63" s="2" t="s">
        <v>35</v>
      </c>
      <c r="K63" s="2" t="s">
        <v>631</v>
      </c>
      <c r="L63" s="12" t="s">
        <v>632</v>
      </c>
      <c r="M63" s="2" t="s">
        <v>132</v>
      </c>
      <c r="N63" s="12" t="s">
        <v>633</v>
      </c>
      <c r="O63" s="2" t="s">
        <v>23</v>
      </c>
      <c r="P63" s="12" t="s">
        <v>634</v>
      </c>
      <c r="Q63" s="12" t="s">
        <v>635</v>
      </c>
      <c r="R63" s="1" t="s">
        <v>1794</v>
      </c>
    </row>
    <row r="64" spans="1:18" ht="24" x14ac:dyDescent="0.3">
      <c r="A64" s="28">
        <v>62</v>
      </c>
      <c r="B64" s="22" t="s">
        <v>636</v>
      </c>
      <c r="C64" s="15" t="s">
        <v>637</v>
      </c>
      <c r="D64" s="15">
        <v>2022</v>
      </c>
      <c r="E64" s="15" t="s">
        <v>84</v>
      </c>
      <c r="F64" s="15" t="s">
        <v>415</v>
      </c>
      <c r="G64" s="15" t="s">
        <v>567</v>
      </c>
      <c r="H64" s="15" t="s">
        <v>638</v>
      </c>
      <c r="I64" s="15" t="s">
        <v>639</v>
      </c>
      <c r="J64" s="15" t="s">
        <v>35</v>
      </c>
      <c r="K64" s="15" t="s">
        <v>640</v>
      </c>
      <c r="L64" s="13" t="s">
        <v>641</v>
      </c>
      <c r="M64" s="15" t="s">
        <v>132</v>
      </c>
      <c r="N64" s="13" t="s">
        <v>642</v>
      </c>
      <c r="O64" s="15" t="s">
        <v>23</v>
      </c>
      <c r="P64" s="13" t="s">
        <v>643</v>
      </c>
      <c r="Q64" s="13" t="s">
        <v>644</v>
      </c>
      <c r="R64" s="5" t="s">
        <v>1795</v>
      </c>
    </row>
    <row r="65" spans="1:18" ht="24" x14ac:dyDescent="0.3">
      <c r="A65" s="27">
        <v>63</v>
      </c>
      <c r="B65" s="20" t="s">
        <v>645</v>
      </c>
      <c r="C65" s="2" t="s">
        <v>646</v>
      </c>
      <c r="D65" s="2">
        <v>2022</v>
      </c>
      <c r="E65" s="2" t="s">
        <v>628</v>
      </c>
      <c r="F65" s="2" t="s">
        <v>32</v>
      </c>
      <c r="G65" s="2" t="s">
        <v>567</v>
      </c>
      <c r="H65" s="2" t="s">
        <v>647</v>
      </c>
      <c r="I65" s="2" t="s">
        <v>648</v>
      </c>
      <c r="J65" s="2" t="s">
        <v>35</v>
      </c>
      <c r="K65" s="2" t="s">
        <v>649</v>
      </c>
      <c r="L65" s="12" t="s">
        <v>650</v>
      </c>
      <c r="M65" s="2" t="s">
        <v>132</v>
      </c>
      <c r="N65" s="12" t="s">
        <v>651</v>
      </c>
      <c r="O65" s="2" t="s">
        <v>23</v>
      </c>
      <c r="P65" s="12" t="s">
        <v>652</v>
      </c>
      <c r="Q65" s="12" t="s">
        <v>653</v>
      </c>
      <c r="R65" s="1" t="s">
        <v>1820</v>
      </c>
    </row>
    <row r="66" spans="1:18" ht="24" x14ac:dyDescent="0.3">
      <c r="A66" s="28">
        <v>64</v>
      </c>
      <c r="B66" s="22" t="s">
        <v>654</v>
      </c>
      <c r="C66" s="15" t="s">
        <v>655</v>
      </c>
      <c r="D66" s="15">
        <v>2019</v>
      </c>
      <c r="E66" s="15" t="s">
        <v>84</v>
      </c>
      <c r="F66" s="15" t="s">
        <v>415</v>
      </c>
      <c r="G66" s="15" t="s">
        <v>567</v>
      </c>
      <c r="H66" s="15" t="s">
        <v>656</v>
      </c>
      <c r="I66" s="15" t="s">
        <v>657</v>
      </c>
      <c r="J66" s="15" t="s">
        <v>35</v>
      </c>
      <c r="K66" s="15" t="s">
        <v>658</v>
      </c>
      <c r="L66" s="13" t="s">
        <v>659</v>
      </c>
      <c r="M66" s="15" t="s">
        <v>132</v>
      </c>
      <c r="N66" s="13" t="s">
        <v>660</v>
      </c>
      <c r="O66" s="15" t="s">
        <v>23</v>
      </c>
      <c r="P66" s="13" t="s">
        <v>661</v>
      </c>
      <c r="Q66" s="13" t="s">
        <v>653</v>
      </c>
      <c r="R66" s="5" t="s">
        <v>1796</v>
      </c>
    </row>
    <row r="67" spans="1:18" ht="22.8" x14ac:dyDescent="0.3">
      <c r="A67" s="27">
        <v>65</v>
      </c>
      <c r="B67" s="20" t="s">
        <v>662</v>
      </c>
      <c r="C67" s="2" t="s">
        <v>663</v>
      </c>
      <c r="D67" s="2">
        <v>2022</v>
      </c>
      <c r="E67" s="2" t="s">
        <v>157</v>
      </c>
      <c r="F67" s="2" t="s">
        <v>415</v>
      </c>
      <c r="G67" s="2" t="s">
        <v>567</v>
      </c>
      <c r="H67" s="2" t="s">
        <v>664</v>
      </c>
      <c r="I67" s="2" t="s">
        <v>665</v>
      </c>
      <c r="J67" s="2" t="s">
        <v>35</v>
      </c>
      <c r="K67" s="2" t="s">
        <v>666</v>
      </c>
      <c r="L67" s="12" t="s">
        <v>667</v>
      </c>
      <c r="M67" s="2" t="s">
        <v>29</v>
      </c>
      <c r="N67" s="12" t="s">
        <v>668</v>
      </c>
      <c r="O67" s="2" t="s">
        <v>23</v>
      </c>
      <c r="P67" s="12" t="s">
        <v>669</v>
      </c>
      <c r="Q67" s="12" t="s">
        <v>670</v>
      </c>
      <c r="R67" s="1" t="str">
        <f>HYPERLINK("https://doi.org/10.48550/arXiv.2205.06175","10.48550/arXiv.2205.06175")</f>
        <v>10.48550/arXiv.2205.06175</v>
      </c>
    </row>
    <row r="68" spans="1:18" ht="22.8" x14ac:dyDescent="0.3">
      <c r="A68" s="28">
        <v>66</v>
      </c>
      <c r="B68" s="22" t="s">
        <v>671</v>
      </c>
      <c r="C68" s="15" t="s">
        <v>672</v>
      </c>
      <c r="D68" s="15">
        <v>2021</v>
      </c>
      <c r="E68" s="15" t="s">
        <v>157</v>
      </c>
      <c r="F68" s="15" t="s">
        <v>415</v>
      </c>
      <c r="G68" s="15" t="s">
        <v>567</v>
      </c>
      <c r="H68" s="15" t="s">
        <v>673</v>
      </c>
      <c r="I68" s="15" t="s">
        <v>674</v>
      </c>
      <c r="J68" s="15" t="s">
        <v>35</v>
      </c>
      <c r="K68" s="15" t="s">
        <v>675</v>
      </c>
      <c r="L68" s="13" t="s">
        <v>676</v>
      </c>
      <c r="M68" s="15" t="s">
        <v>132</v>
      </c>
      <c r="N68" s="13" t="s">
        <v>677</v>
      </c>
      <c r="O68" s="15" t="s">
        <v>23</v>
      </c>
      <c r="P68" s="13" t="s">
        <v>678</v>
      </c>
      <c r="Q68" s="13" t="s">
        <v>679</v>
      </c>
      <c r="R68" s="5" t="str">
        <f>HYPERLINK("https://doi.org/10.48550/arXiv.2107.14795","10.48550/arXiv.2107.14795")</f>
        <v>10.48550/arXiv.2107.14795</v>
      </c>
    </row>
    <row r="69" spans="1:18" ht="22.8" x14ac:dyDescent="0.3">
      <c r="A69" s="27">
        <v>67</v>
      </c>
      <c r="B69" s="20" t="s">
        <v>680</v>
      </c>
      <c r="C69" s="2" t="s">
        <v>681</v>
      </c>
      <c r="D69" s="2">
        <v>2022</v>
      </c>
      <c r="E69" s="2" t="s">
        <v>157</v>
      </c>
      <c r="F69" s="2" t="s">
        <v>415</v>
      </c>
      <c r="G69" s="2" t="s">
        <v>567</v>
      </c>
      <c r="H69" s="2" t="s">
        <v>682</v>
      </c>
      <c r="I69" s="2" t="s">
        <v>683</v>
      </c>
      <c r="J69" s="2" t="s">
        <v>35</v>
      </c>
      <c r="K69" s="2" t="s">
        <v>684</v>
      </c>
      <c r="L69" s="12" t="s">
        <v>685</v>
      </c>
      <c r="M69" s="2" t="s">
        <v>29</v>
      </c>
      <c r="N69" s="12" t="s">
        <v>686</v>
      </c>
      <c r="O69" s="2" t="s">
        <v>23</v>
      </c>
      <c r="P69" s="12" t="s">
        <v>687</v>
      </c>
      <c r="Q69" s="12" t="s">
        <v>688</v>
      </c>
      <c r="R69" s="1" t="str">
        <f>HYPERLINK("https://doi.org/10.48550/arXiv.2204.01691","10.48550/arXiv.2204.01691")</f>
        <v>10.48550/arXiv.2204.01691</v>
      </c>
    </row>
    <row r="70" spans="1:18" ht="22.8" x14ac:dyDescent="0.3">
      <c r="A70" s="28">
        <v>68</v>
      </c>
      <c r="B70" s="22" t="s">
        <v>689</v>
      </c>
      <c r="C70" s="15" t="s">
        <v>690</v>
      </c>
      <c r="D70" s="15">
        <v>2023</v>
      </c>
      <c r="E70" s="15" t="s">
        <v>691</v>
      </c>
      <c r="F70" s="15" t="s">
        <v>415</v>
      </c>
      <c r="G70" s="15" t="s">
        <v>567</v>
      </c>
      <c r="H70" s="15" t="s">
        <v>692</v>
      </c>
      <c r="I70" s="15" t="s">
        <v>693</v>
      </c>
      <c r="J70" s="15" t="s">
        <v>35</v>
      </c>
      <c r="K70" s="15" t="s">
        <v>694</v>
      </c>
      <c r="L70" s="13" t="s">
        <v>695</v>
      </c>
      <c r="M70" s="15" t="s">
        <v>29</v>
      </c>
      <c r="N70" s="13" t="s">
        <v>696</v>
      </c>
      <c r="O70" s="15" t="s">
        <v>23</v>
      </c>
      <c r="P70" s="13" t="s">
        <v>697</v>
      </c>
      <c r="Q70" s="13" t="s">
        <v>698</v>
      </c>
      <c r="R70" s="5" t="str">
        <f>HYPERLINK("https://doi.org/10.48550/arXiv.2302.14030","10.48550/arXiv.2302.14030")</f>
        <v>10.48550/arXiv.2302.14030</v>
      </c>
    </row>
    <row r="71" spans="1:18" ht="34.200000000000003" x14ac:dyDescent="0.3">
      <c r="A71" s="27">
        <v>69</v>
      </c>
      <c r="B71" s="20" t="s">
        <v>699</v>
      </c>
      <c r="C71" s="2" t="s">
        <v>700</v>
      </c>
      <c r="D71" s="2">
        <v>2023</v>
      </c>
      <c r="E71" s="2" t="s">
        <v>701</v>
      </c>
      <c r="F71" s="2" t="s">
        <v>32</v>
      </c>
      <c r="G71" s="2" t="s">
        <v>567</v>
      </c>
      <c r="H71" s="2" t="s">
        <v>702</v>
      </c>
      <c r="I71" s="2" t="s">
        <v>703</v>
      </c>
      <c r="J71" s="2" t="s">
        <v>35</v>
      </c>
      <c r="K71" s="2" t="s">
        <v>704</v>
      </c>
      <c r="L71" s="12" t="s">
        <v>705</v>
      </c>
      <c r="M71" s="2" t="s">
        <v>29</v>
      </c>
      <c r="N71" s="12" t="s">
        <v>706</v>
      </c>
      <c r="O71" s="2" t="s">
        <v>23</v>
      </c>
      <c r="P71" s="12" t="s">
        <v>707</v>
      </c>
      <c r="Q71" s="12" t="s">
        <v>708</v>
      </c>
      <c r="R71" s="1" t="s">
        <v>1821</v>
      </c>
    </row>
    <row r="72" spans="1:18" ht="22.8" x14ac:dyDescent="0.3">
      <c r="A72" s="28">
        <v>70</v>
      </c>
      <c r="B72" s="22" t="s">
        <v>709</v>
      </c>
      <c r="C72" s="15" t="s">
        <v>710</v>
      </c>
      <c r="D72" s="15">
        <v>2023</v>
      </c>
      <c r="E72" s="15" t="s">
        <v>691</v>
      </c>
      <c r="F72" s="15" t="s">
        <v>32</v>
      </c>
      <c r="G72" s="15" t="s">
        <v>567</v>
      </c>
      <c r="H72" s="15" t="s">
        <v>711</v>
      </c>
      <c r="I72" s="15" t="s">
        <v>712</v>
      </c>
      <c r="J72" s="15" t="s">
        <v>35</v>
      </c>
      <c r="K72" s="15" t="s">
        <v>713</v>
      </c>
      <c r="L72" s="13" t="s">
        <v>714</v>
      </c>
      <c r="M72" s="15" t="s">
        <v>29</v>
      </c>
      <c r="N72" s="13" t="s">
        <v>715</v>
      </c>
      <c r="O72" s="15" t="s">
        <v>23</v>
      </c>
      <c r="P72" s="13" t="s">
        <v>716</v>
      </c>
      <c r="Q72" s="13" t="s">
        <v>717</v>
      </c>
      <c r="R72" s="5" t="str">
        <f>HYPERLINK("https://doi.org/10.48550/arXiv.2210.03094","10.48550/arXiv.2210.03094")</f>
        <v>10.48550/arXiv.2210.03094</v>
      </c>
    </row>
    <row r="73" spans="1:18" ht="24" x14ac:dyDescent="0.3">
      <c r="A73" s="27">
        <v>71</v>
      </c>
      <c r="B73" s="20" t="s">
        <v>718</v>
      </c>
      <c r="C73" s="2" t="s">
        <v>94</v>
      </c>
      <c r="D73" s="2">
        <v>2022</v>
      </c>
      <c r="E73" s="2" t="s">
        <v>474</v>
      </c>
      <c r="F73" s="2" t="s">
        <v>32</v>
      </c>
      <c r="G73" s="2" t="s">
        <v>567</v>
      </c>
      <c r="H73" s="2" t="s">
        <v>719</v>
      </c>
      <c r="I73" s="2" t="s">
        <v>720</v>
      </c>
      <c r="J73" s="2" t="s">
        <v>35</v>
      </c>
      <c r="K73" s="2" t="s">
        <v>721</v>
      </c>
      <c r="L73" s="12" t="s">
        <v>722</v>
      </c>
      <c r="M73" s="2" t="s">
        <v>29</v>
      </c>
      <c r="N73" s="12" t="s">
        <v>723</v>
      </c>
      <c r="O73" s="2" t="s">
        <v>30</v>
      </c>
      <c r="P73" s="12" t="s">
        <v>724</v>
      </c>
      <c r="Q73" s="12" t="s">
        <v>725</v>
      </c>
      <c r="R73" s="1" t="s">
        <v>1820</v>
      </c>
    </row>
    <row r="74" spans="1:18" ht="22.8" x14ac:dyDescent="0.3">
      <c r="A74" s="28">
        <v>72</v>
      </c>
      <c r="B74" s="22" t="s">
        <v>726</v>
      </c>
      <c r="C74" s="15" t="s">
        <v>727</v>
      </c>
      <c r="D74" s="15">
        <v>2024</v>
      </c>
      <c r="E74" s="15" t="s">
        <v>728</v>
      </c>
      <c r="F74" s="15" t="s">
        <v>39</v>
      </c>
      <c r="G74" s="15" t="s">
        <v>50</v>
      </c>
      <c r="H74" s="15" t="s">
        <v>208</v>
      </c>
      <c r="I74" s="15" t="s">
        <v>729</v>
      </c>
      <c r="J74" s="15" t="s">
        <v>179</v>
      </c>
      <c r="K74" s="15" t="s">
        <v>730</v>
      </c>
      <c r="L74" s="13" t="s">
        <v>731</v>
      </c>
      <c r="M74" s="15" t="s">
        <v>22</v>
      </c>
      <c r="N74" s="13" t="s">
        <v>732</v>
      </c>
      <c r="O74" s="15" t="s">
        <v>23</v>
      </c>
      <c r="P74" s="13" t="s">
        <v>232</v>
      </c>
      <c r="Q74" s="13" t="s">
        <v>733</v>
      </c>
      <c r="R74" s="5" t="str">
        <f>HYPERLINK("https://doi.org/10.1145/3623906","10.1145/3623906")</f>
        <v>10.1145/3623906</v>
      </c>
    </row>
    <row r="75" spans="1:18" ht="22.8" x14ac:dyDescent="0.3">
      <c r="A75" s="27">
        <v>73</v>
      </c>
      <c r="B75" s="20" t="s">
        <v>734</v>
      </c>
      <c r="C75" s="2" t="s">
        <v>735</v>
      </c>
      <c r="D75" s="2">
        <v>2018</v>
      </c>
      <c r="E75" s="2" t="s">
        <v>157</v>
      </c>
      <c r="F75" s="2" t="s">
        <v>39</v>
      </c>
      <c r="G75" s="2" t="s">
        <v>62</v>
      </c>
      <c r="H75" s="2" t="s">
        <v>736</v>
      </c>
      <c r="I75" s="2" t="s">
        <v>737</v>
      </c>
      <c r="J75" s="2" t="s">
        <v>179</v>
      </c>
      <c r="K75" s="2" t="s">
        <v>738</v>
      </c>
      <c r="L75" s="12" t="s">
        <v>739</v>
      </c>
      <c r="M75" s="2" t="s">
        <v>67</v>
      </c>
      <c r="N75" s="12" t="s">
        <v>740</v>
      </c>
      <c r="O75" s="2" t="s">
        <v>30</v>
      </c>
      <c r="P75" s="12" t="s">
        <v>741</v>
      </c>
      <c r="Q75" s="12" t="s">
        <v>742</v>
      </c>
      <c r="R75" s="1" t="str">
        <f>HYPERLINK("https://doi.org/10.48550/arXiv.1806.00069","10.48550/arXiv.1806.00069")</f>
        <v>10.48550/arXiv.1806.00069</v>
      </c>
    </row>
    <row r="76" spans="1:18" ht="24" x14ac:dyDescent="0.3">
      <c r="A76" s="28">
        <v>74</v>
      </c>
      <c r="B76" s="22" t="s">
        <v>743</v>
      </c>
      <c r="C76" s="15" t="s">
        <v>744</v>
      </c>
      <c r="D76" s="15">
        <v>2024</v>
      </c>
      <c r="E76" s="15" t="s">
        <v>6</v>
      </c>
      <c r="F76" s="15" t="s">
        <v>39</v>
      </c>
      <c r="G76" s="15" t="s">
        <v>50</v>
      </c>
      <c r="H76" s="15" t="s">
        <v>745</v>
      </c>
      <c r="I76" s="15" t="s">
        <v>746</v>
      </c>
      <c r="J76" s="15" t="s">
        <v>179</v>
      </c>
      <c r="K76" s="15" t="s">
        <v>747</v>
      </c>
      <c r="L76" s="13" t="s">
        <v>748</v>
      </c>
      <c r="M76" s="15" t="s">
        <v>22</v>
      </c>
      <c r="N76" s="13" t="s">
        <v>749</v>
      </c>
      <c r="O76" s="15" t="s">
        <v>23</v>
      </c>
      <c r="P76" s="13" t="s">
        <v>750</v>
      </c>
      <c r="Q76" s="13" t="s">
        <v>751</v>
      </c>
      <c r="R76" s="5" t="s">
        <v>1822</v>
      </c>
    </row>
    <row r="77" spans="1:18" ht="22.8" x14ac:dyDescent="0.3">
      <c r="A77" s="27">
        <v>75</v>
      </c>
      <c r="B77" s="20" t="s">
        <v>752</v>
      </c>
      <c r="C77" s="2" t="s">
        <v>753</v>
      </c>
      <c r="D77" s="2">
        <v>2022</v>
      </c>
      <c r="E77" s="2" t="s">
        <v>754</v>
      </c>
      <c r="F77" s="2" t="s">
        <v>39</v>
      </c>
      <c r="G77" s="2" t="s">
        <v>62</v>
      </c>
      <c r="H77" s="2" t="s">
        <v>188</v>
      </c>
      <c r="I77" s="2" t="s">
        <v>755</v>
      </c>
      <c r="J77" s="2" t="s">
        <v>53</v>
      </c>
      <c r="K77" s="2" t="s">
        <v>54</v>
      </c>
      <c r="L77" s="12" t="s">
        <v>756</v>
      </c>
      <c r="M77" s="2" t="s">
        <v>757</v>
      </c>
      <c r="N77" s="12" t="s">
        <v>758</v>
      </c>
      <c r="O77" s="2" t="s">
        <v>23</v>
      </c>
      <c r="P77" s="12" t="s">
        <v>759</v>
      </c>
      <c r="Q77" s="12" t="s">
        <v>760</v>
      </c>
      <c r="R77" s="1" t="s">
        <v>1811</v>
      </c>
    </row>
    <row r="78" spans="1:18" ht="24" x14ac:dyDescent="0.3">
      <c r="A78" s="28">
        <v>76</v>
      </c>
      <c r="B78" s="22" t="s">
        <v>761</v>
      </c>
      <c r="C78" s="15" t="s">
        <v>762</v>
      </c>
      <c r="D78" s="15">
        <v>2025</v>
      </c>
      <c r="E78" s="15" t="s">
        <v>763</v>
      </c>
      <c r="F78" s="15" t="s">
        <v>39</v>
      </c>
      <c r="G78" s="15" t="s">
        <v>50</v>
      </c>
      <c r="H78" s="15" t="s">
        <v>208</v>
      </c>
      <c r="I78" s="15" t="s">
        <v>764</v>
      </c>
      <c r="J78" s="15" t="s">
        <v>179</v>
      </c>
      <c r="K78" s="15" t="s">
        <v>210</v>
      </c>
      <c r="L78" s="13" t="s">
        <v>765</v>
      </c>
      <c r="M78" s="15" t="s">
        <v>22</v>
      </c>
      <c r="N78" s="13" t="s">
        <v>766</v>
      </c>
      <c r="O78" s="15" t="s">
        <v>30</v>
      </c>
      <c r="P78" s="13" t="s">
        <v>767</v>
      </c>
      <c r="Q78" s="13" t="s">
        <v>768</v>
      </c>
      <c r="R78" s="5" t="s">
        <v>1823</v>
      </c>
    </row>
    <row r="79" spans="1:18" ht="24" x14ac:dyDescent="0.3">
      <c r="A79" s="27">
        <v>77</v>
      </c>
      <c r="B79" s="20" t="s">
        <v>769</v>
      </c>
      <c r="C79" s="2" t="s">
        <v>770</v>
      </c>
      <c r="D79" s="2">
        <v>2025</v>
      </c>
      <c r="E79" s="2" t="s">
        <v>771</v>
      </c>
      <c r="F79" s="2" t="s">
        <v>19</v>
      </c>
      <c r="G79" s="2" t="s">
        <v>62</v>
      </c>
      <c r="H79" s="2" t="s">
        <v>772</v>
      </c>
      <c r="I79" s="2" t="s">
        <v>773</v>
      </c>
      <c r="J79" s="2" t="s">
        <v>21</v>
      </c>
      <c r="K79" s="2" t="s">
        <v>774</v>
      </c>
      <c r="L79" s="12" t="s">
        <v>775</v>
      </c>
      <c r="M79" s="2" t="s">
        <v>22</v>
      </c>
      <c r="N79" s="12" t="s">
        <v>776</v>
      </c>
      <c r="O79" s="2" t="s">
        <v>23</v>
      </c>
      <c r="P79" s="12" t="s">
        <v>777</v>
      </c>
      <c r="Q79" s="12" t="s">
        <v>778</v>
      </c>
      <c r="R79" s="1" t="s">
        <v>1824</v>
      </c>
    </row>
    <row r="80" spans="1:18" ht="24" x14ac:dyDescent="0.3">
      <c r="A80" s="28">
        <v>78</v>
      </c>
      <c r="B80" s="22" t="s">
        <v>779</v>
      </c>
      <c r="C80" s="15" t="s">
        <v>780</v>
      </c>
      <c r="D80" s="15">
        <v>2017</v>
      </c>
      <c r="E80" s="15" t="s">
        <v>628</v>
      </c>
      <c r="F80" s="15" t="s">
        <v>376</v>
      </c>
      <c r="G80" s="15" t="s">
        <v>117</v>
      </c>
      <c r="H80" s="15" t="s">
        <v>781</v>
      </c>
      <c r="I80" s="15" t="s">
        <v>782</v>
      </c>
      <c r="J80" s="15" t="s">
        <v>35</v>
      </c>
      <c r="K80" s="15" t="s">
        <v>783</v>
      </c>
      <c r="L80" s="13" t="s">
        <v>784</v>
      </c>
      <c r="M80" s="15" t="s">
        <v>99</v>
      </c>
      <c r="N80" s="13" t="s">
        <v>785</v>
      </c>
      <c r="O80" s="15" t="s">
        <v>23</v>
      </c>
      <c r="P80" s="13" t="s">
        <v>786</v>
      </c>
      <c r="Q80" s="13" t="s">
        <v>787</v>
      </c>
      <c r="R80" s="5" t="s">
        <v>1797</v>
      </c>
    </row>
    <row r="81" spans="1:18" ht="22.8" x14ac:dyDescent="0.3">
      <c r="A81" s="27">
        <v>79</v>
      </c>
      <c r="B81" s="20" t="s">
        <v>788</v>
      </c>
      <c r="C81" s="2" t="s">
        <v>789</v>
      </c>
      <c r="D81" s="2">
        <v>2024</v>
      </c>
      <c r="E81" s="2" t="s">
        <v>790</v>
      </c>
      <c r="F81" s="2" t="s">
        <v>39</v>
      </c>
      <c r="G81" s="2" t="s">
        <v>50</v>
      </c>
      <c r="H81" s="2" t="s">
        <v>208</v>
      </c>
      <c r="I81" s="2" t="s">
        <v>729</v>
      </c>
      <c r="J81" s="2" t="s">
        <v>179</v>
      </c>
      <c r="K81" s="2" t="s">
        <v>210</v>
      </c>
      <c r="L81" s="12" t="s">
        <v>791</v>
      </c>
      <c r="M81" s="2" t="s">
        <v>792</v>
      </c>
      <c r="N81" s="12" t="s">
        <v>793</v>
      </c>
      <c r="O81" s="2" t="s">
        <v>23</v>
      </c>
      <c r="P81" s="12" t="s">
        <v>794</v>
      </c>
      <c r="Q81" s="12" t="s">
        <v>795</v>
      </c>
      <c r="R81" s="1" t="str">
        <f>HYPERLINK("https://doi.org/10.1007/s12559-023-10179-8","10.1007/s12559-023-10179-8")</f>
        <v>10.1007/s12559-023-10179-8</v>
      </c>
    </row>
    <row r="82" spans="1:18" ht="34.200000000000003" x14ac:dyDescent="0.3">
      <c r="A82" s="28">
        <v>80</v>
      </c>
      <c r="B82" s="22" t="s">
        <v>796</v>
      </c>
      <c r="C82" s="15" t="s">
        <v>797</v>
      </c>
      <c r="D82" s="15">
        <v>2020</v>
      </c>
      <c r="E82" s="15" t="s">
        <v>798</v>
      </c>
      <c r="F82" s="15" t="s">
        <v>376</v>
      </c>
      <c r="G82" s="15" t="s">
        <v>74</v>
      </c>
      <c r="H82" s="15" t="s">
        <v>799</v>
      </c>
      <c r="I82" s="15" t="s">
        <v>800</v>
      </c>
      <c r="J82" s="15" t="s">
        <v>21</v>
      </c>
      <c r="K82" s="15" t="s">
        <v>801</v>
      </c>
      <c r="L82" s="13" t="s">
        <v>802</v>
      </c>
      <c r="M82" s="15" t="s">
        <v>89</v>
      </c>
      <c r="N82" s="13" t="s">
        <v>803</v>
      </c>
      <c r="O82" s="15" t="s">
        <v>23</v>
      </c>
      <c r="P82" s="13" t="s">
        <v>804</v>
      </c>
      <c r="Q82" s="13" t="s">
        <v>805</v>
      </c>
      <c r="R82" s="5" t="str">
        <f>HYPERLINK("https://doi.org/10.1038/s42256-019-0138-9","10.1038/s42256-019-0138-9")</f>
        <v>10.1038/s42256-019-0138-9</v>
      </c>
    </row>
    <row r="83" spans="1:18" ht="22.8" x14ac:dyDescent="0.3">
      <c r="A83" s="27">
        <v>81</v>
      </c>
      <c r="B83" s="20" t="s">
        <v>806</v>
      </c>
      <c r="C83" s="2" t="s">
        <v>104</v>
      </c>
      <c r="D83" s="2">
        <v>2018</v>
      </c>
      <c r="E83" s="2" t="s">
        <v>807</v>
      </c>
      <c r="F83" s="2" t="s">
        <v>376</v>
      </c>
      <c r="G83" s="2" t="s">
        <v>62</v>
      </c>
      <c r="H83" s="2" t="s">
        <v>106</v>
      </c>
      <c r="I83" s="2" t="s">
        <v>808</v>
      </c>
      <c r="J83" s="2" t="s">
        <v>21</v>
      </c>
      <c r="K83" s="2" t="s">
        <v>809</v>
      </c>
      <c r="L83" s="12" t="s">
        <v>810</v>
      </c>
      <c r="M83" s="2" t="s">
        <v>67</v>
      </c>
      <c r="N83" s="12" t="s">
        <v>811</v>
      </c>
      <c r="O83" s="2" t="s">
        <v>23</v>
      </c>
      <c r="P83" s="12" t="s">
        <v>812</v>
      </c>
      <c r="Q83" s="12" t="s">
        <v>813</v>
      </c>
      <c r="R83" s="1" t="str">
        <f>HYPERLINK("https://doi.org/10.1609/aaai.v32i1.11491","10.1609/aaai.v32i1.11491")</f>
        <v>10.1609/aaai.v32i1.11491</v>
      </c>
    </row>
    <row r="84" spans="1:18" ht="22.8" x14ac:dyDescent="0.3">
      <c r="A84" s="28">
        <v>82</v>
      </c>
      <c r="B84" s="22" t="s">
        <v>814</v>
      </c>
      <c r="C84" s="15" t="s">
        <v>815</v>
      </c>
      <c r="D84" s="15">
        <v>2001</v>
      </c>
      <c r="E84" s="15" t="s">
        <v>816</v>
      </c>
      <c r="F84" s="15" t="s">
        <v>39</v>
      </c>
      <c r="G84" s="15" t="s">
        <v>74</v>
      </c>
      <c r="H84" s="15" t="s">
        <v>817</v>
      </c>
      <c r="I84" s="15" t="s">
        <v>818</v>
      </c>
      <c r="J84" s="15" t="s">
        <v>21</v>
      </c>
      <c r="K84" s="15" t="s">
        <v>819</v>
      </c>
      <c r="L84" s="13" t="s">
        <v>820</v>
      </c>
      <c r="M84" s="15" t="s">
        <v>132</v>
      </c>
      <c r="N84" s="13" t="s">
        <v>821</v>
      </c>
      <c r="O84" s="15" t="s">
        <v>23</v>
      </c>
      <c r="P84" s="13" t="s">
        <v>822</v>
      </c>
      <c r="Q84" s="13" t="s">
        <v>823</v>
      </c>
      <c r="R84" s="5" t="str">
        <f>HYPERLINK("https://doi.org/10.1214/aos/1013203451","10.1214/aos/1013203451")</f>
        <v>10.1214/aos/1013203451</v>
      </c>
    </row>
    <row r="85" spans="1:18" ht="22.8" x14ac:dyDescent="0.3">
      <c r="A85" s="27">
        <v>83</v>
      </c>
      <c r="B85" s="20" t="s">
        <v>824</v>
      </c>
      <c r="C85" s="2" t="s">
        <v>825</v>
      </c>
      <c r="D85" s="2">
        <v>2015</v>
      </c>
      <c r="E85" s="2" t="s">
        <v>826</v>
      </c>
      <c r="F85" s="2" t="s">
        <v>39</v>
      </c>
      <c r="G85" s="2" t="s">
        <v>74</v>
      </c>
      <c r="H85" s="2" t="s">
        <v>827</v>
      </c>
      <c r="I85" s="2" t="s">
        <v>828</v>
      </c>
      <c r="J85" s="2" t="s">
        <v>21</v>
      </c>
      <c r="K85" s="2" t="s">
        <v>829</v>
      </c>
      <c r="L85" s="12" t="s">
        <v>830</v>
      </c>
      <c r="M85" s="2" t="s">
        <v>67</v>
      </c>
      <c r="N85" s="12" t="s">
        <v>831</v>
      </c>
      <c r="O85" s="2" t="s">
        <v>23</v>
      </c>
      <c r="P85" s="12" t="s">
        <v>832</v>
      </c>
      <c r="Q85" s="12" t="s">
        <v>833</v>
      </c>
      <c r="R85" s="1" t="str">
        <f>HYPERLINK("https://doi.org/10.1080/10618600.2014.907095","10.1080/10618600.2014.907095")</f>
        <v>10.1080/10618600.2014.907095</v>
      </c>
    </row>
    <row r="86" spans="1:18" ht="24" x14ac:dyDescent="0.3">
      <c r="A86" s="28">
        <v>84</v>
      </c>
      <c r="B86" s="22" t="s">
        <v>834</v>
      </c>
      <c r="C86" s="15" t="s">
        <v>835</v>
      </c>
      <c r="D86" s="15">
        <v>1996</v>
      </c>
      <c r="E86" s="15" t="s">
        <v>84</v>
      </c>
      <c r="F86" s="15" t="s">
        <v>39</v>
      </c>
      <c r="G86" s="15" t="s">
        <v>62</v>
      </c>
      <c r="H86" s="15" t="s">
        <v>836</v>
      </c>
      <c r="I86" s="15" t="s">
        <v>837</v>
      </c>
      <c r="J86" s="15" t="s">
        <v>21</v>
      </c>
      <c r="K86" s="15" t="s">
        <v>838</v>
      </c>
      <c r="L86" s="13" t="s">
        <v>839</v>
      </c>
      <c r="M86" s="15" t="s">
        <v>132</v>
      </c>
      <c r="N86" s="13" t="s">
        <v>840</v>
      </c>
      <c r="O86" s="15" t="s">
        <v>23</v>
      </c>
      <c r="P86" s="13" t="s">
        <v>841</v>
      </c>
      <c r="Q86" s="13" t="s">
        <v>842</v>
      </c>
      <c r="R86" s="5" t="s">
        <v>1798</v>
      </c>
    </row>
    <row r="87" spans="1:18" ht="22.8" x14ac:dyDescent="0.3">
      <c r="A87" s="27">
        <v>85</v>
      </c>
      <c r="B87" s="20" t="s">
        <v>843</v>
      </c>
      <c r="C87" s="2" t="s">
        <v>844</v>
      </c>
      <c r="D87" s="2">
        <v>2024</v>
      </c>
      <c r="E87" s="2" t="s">
        <v>845</v>
      </c>
      <c r="F87" s="2" t="s">
        <v>39</v>
      </c>
      <c r="G87" s="2" t="s">
        <v>50</v>
      </c>
      <c r="H87" s="2" t="s">
        <v>208</v>
      </c>
      <c r="I87" s="2" t="s">
        <v>764</v>
      </c>
      <c r="J87" s="2" t="s">
        <v>179</v>
      </c>
      <c r="K87" s="2" t="s">
        <v>229</v>
      </c>
      <c r="L87" s="12" t="s">
        <v>846</v>
      </c>
      <c r="M87" s="2" t="s">
        <v>22</v>
      </c>
      <c r="N87" s="12" t="s">
        <v>847</v>
      </c>
      <c r="O87" s="2" t="s">
        <v>23</v>
      </c>
      <c r="P87" s="12" t="s">
        <v>848</v>
      </c>
      <c r="Q87" s="12" t="s">
        <v>849</v>
      </c>
      <c r="R87" s="1" t="str">
        <f>HYPERLINK("https://doi.org/10.1016/j.neucom.2024.128111","10.1016/j.neucom.2024.128111")</f>
        <v>10.1016/j.neucom.2024.128111</v>
      </c>
    </row>
    <row r="88" spans="1:18" ht="22.8" x14ac:dyDescent="0.3">
      <c r="A88" s="28">
        <v>86</v>
      </c>
      <c r="B88" s="22" t="s">
        <v>850</v>
      </c>
      <c r="C88" s="15" t="s">
        <v>851</v>
      </c>
      <c r="D88" s="15">
        <v>2014</v>
      </c>
      <c r="E88" s="15" t="s">
        <v>852</v>
      </c>
      <c r="F88" s="15" t="s">
        <v>116</v>
      </c>
      <c r="G88" s="15" t="s">
        <v>117</v>
      </c>
      <c r="H88" s="15" t="s">
        <v>853</v>
      </c>
      <c r="I88" s="15" t="s">
        <v>854</v>
      </c>
      <c r="J88" s="15" t="s">
        <v>35</v>
      </c>
      <c r="K88" s="15" t="s">
        <v>477</v>
      </c>
      <c r="L88" s="13" t="s">
        <v>855</v>
      </c>
      <c r="M88" s="15" t="s">
        <v>132</v>
      </c>
      <c r="N88" s="13" t="s">
        <v>856</v>
      </c>
      <c r="O88" s="15" t="s">
        <v>23</v>
      </c>
      <c r="P88" s="13" t="s">
        <v>857</v>
      </c>
      <c r="Q88" s="13" t="s">
        <v>858</v>
      </c>
      <c r="R88" s="5" t="str">
        <f>HYPERLINK("https://doi.org/10.1007/978-3-319-10590-1_53","10.1007/978-3-319-10590-1_53")</f>
        <v>10.1007/978-3-319-10590-1_53</v>
      </c>
    </row>
    <row r="89" spans="1:18" ht="22.8" x14ac:dyDescent="0.3">
      <c r="A89" s="27">
        <v>87</v>
      </c>
      <c r="B89" s="20" t="s">
        <v>859</v>
      </c>
      <c r="C89" s="2" t="s">
        <v>860</v>
      </c>
      <c r="D89" s="2">
        <v>2013</v>
      </c>
      <c r="E89" s="2" t="s">
        <v>157</v>
      </c>
      <c r="F89" s="2" t="s">
        <v>116</v>
      </c>
      <c r="G89" s="2" t="s">
        <v>117</v>
      </c>
      <c r="H89" s="2" t="s">
        <v>861</v>
      </c>
      <c r="I89" s="2" t="s">
        <v>862</v>
      </c>
      <c r="J89" s="2" t="s">
        <v>35</v>
      </c>
      <c r="K89" s="2" t="s">
        <v>477</v>
      </c>
      <c r="L89" s="12" t="s">
        <v>863</v>
      </c>
      <c r="M89" s="2" t="s">
        <v>67</v>
      </c>
      <c r="N89" s="12" t="s">
        <v>864</v>
      </c>
      <c r="O89" s="2" t="s">
        <v>23</v>
      </c>
      <c r="P89" s="12" t="s">
        <v>865</v>
      </c>
      <c r="Q89" s="12" t="s">
        <v>866</v>
      </c>
      <c r="R89" s="1" t="str">
        <f>HYPERLINK("https://doi.org/10.48550/arXiv.1312.6034","10.48550/arXiv.1312.6034")</f>
        <v>10.48550/arXiv.1312.6034</v>
      </c>
    </row>
    <row r="90" spans="1:18" ht="24" x14ac:dyDescent="0.3">
      <c r="A90" s="28">
        <v>88</v>
      </c>
      <c r="B90" s="22" t="s">
        <v>867</v>
      </c>
      <c r="C90" s="15" t="s">
        <v>868</v>
      </c>
      <c r="D90" s="15">
        <v>2015</v>
      </c>
      <c r="E90" s="15" t="s">
        <v>547</v>
      </c>
      <c r="F90" s="15" t="s">
        <v>39</v>
      </c>
      <c r="G90" s="15" t="s">
        <v>117</v>
      </c>
      <c r="H90" s="15" t="s">
        <v>869</v>
      </c>
      <c r="I90" s="15" t="s">
        <v>870</v>
      </c>
      <c r="J90" s="15" t="s">
        <v>35</v>
      </c>
      <c r="K90" s="15" t="s">
        <v>871</v>
      </c>
      <c r="L90" s="13" t="s">
        <v>872</v>
      </c>
      <c r="M90" s="15" t="s">
        <v>67</v>
      </c>
      <c r="N90" s="13" t="s">
        <v>873</v>
      </c>
      <c r="O90" s="15" t="s">
        <v>23</v>
      </c>
      <c r="P90" s="13" t="s">
        <v>874</v>
      </c>
      <c r="Q90" s="13" t="s">
        <v>875</v>
      </c>
      <c r="R90" s="5" t="s">
        <v>1799</v>
      </c>
    </row>
    <row r="91" spans="1:18" ht="24" x14ac:dyDescent="0.3">
      <c r="A91" s="27">
        <v>89</v>
      </c>
      <c r="B91" s="20" t="s">
        <v>876</v>
      </c>
      <c r="C91" s="2" t="s">
        <v>877</v>
      </c>
      <c r="D91" s="2">
        <v>2018</v>
      </c>
      <c r="E91" s="2" t="s">
        <v>878</v>
      </c>
      <c r="F91" s="2" t="s">
        <v>376</v>
      </c>
      <c r="G91" s="2" t="s">
        <v>62</v>
      </c>
      <c r="H91" s="2" t="s">
        <v>879</v>
      </c>
      <c r="I91" s="2" t="s">
        <v>880</v>
      </c>
      <c r="J91" s="2" t="s">
        <v>35</v>
      </c>
      <c r="K91" s="2" t="s">
        <v>881</v>
      </c>
      <c r="L91" s="12" t="s">
        <v>882</v>
      </c>
      <c r="M91" s="2" t="s">
        <v>22</v>
      </c>
      <c r="N91" s="12" t="s">
        <v>883</v>
      </c>
      <c r="O91" s="2" t="s">
        <v>23</v>
      </c>
      <c r="P91" s="12" t="s">
        <v>884</v>
      </c>
      <c r="Q91" s="12" t="s">
        <v>885</v>
      </c>
      <c r="R91" s="1" t="s">
        <v>1800</v>
      </c>
    </row>
    <row r="92" spans="1:18" ht="34.200000000000003" x14ac:dyDescent="0.3">
      <c r="A92" s="28">
        <v>90</v>
      </c>
      <c r="B92" s="22" t="s">
        <v>886</v>
      </c>
      <c r="C92" s="15" t="s">
        <v>887</v>
      </c>
      <c r="D92" s="15">
        <v>2025</v>
      </c>
      <c r="E92" s="15" t="s">
        <v>888</v>
      </c>
      <c r="F92" s="15" t="s">
        <v>39</v>
      </c>
      <c r="G92" s="15" t="s">
        <v>889</v>
      </c>
      <c r="H92" s="15" t="s">
        <v>219</v>
      </c>
      <c r="I92" s="15" t="s">
        <v>890</v>
      </c>
      <c r="J92" s="15" t="s">
        <v>33</v>
      </c>
      <c r="K92" s="15" t="s">
        <v>891</v>
      </c>
      <c r="L92" s="13" t="s">
        <v>892</v>
      </c>
      <c r="M92" s="15" t="s">
        <v>26</v>
      </c>
      <c r="N92" s="13" t="s">
        <v>893</v>
      </c>
      <c r="O92" s="15" t="s">
        <v>23</v>
      </c>
      <c r="P92" s="13" t="s">
        <v>894</v>
      </c>
      <c r="Q92" s="13" t="s">
        <v>895</v>
      </c>
      <c r="R92" s="5" t="s">
        <v>1825</v>
      </c>
    </row>
    <row r="93" spans="1:18" ht="22.8" x14ac:dyDescent="0.3">
      <c r="A93" s="27">
        <v>91</v>
      </c>
      <c r="B93" s="20" t="s">
        <v>896</v>
      </c>
      <c r="C93" s="2" t="s">
        <v>897</v>
      </c>
      <c r="D93" s="2">
        <v>2017</v>
      </c>
      <c r="E93" s="2" t="s">
        <v>197</v>
      </c>
      <c r="F93" s="2" t="s">
        <v>19</v>
      </c>
      <c r="G93" s="2" t="s">
        <v>117</v>
      </c>
      <c r="H93" s="2" t="s">
        <v>898</v>
      </c>
      <c r="I93" s="2" t="s">
        <v>899</v>
      </c>
      <c r="J93" s="2" t="s">
        <v>35</v>
      </c>
      <c r="K93" s="2" t="s">
        <v>900</v>
      </c>
      <c r="L93" s="12" t="s">
        <v>901</v>
      </c>
      <c r="M93" s="2" t="s">
        <v>132</v>
      </c>
      <c r="N93" s="12" t="s">
        <v>902</v>
      </c>
      <c r="O93" s="2" t="s">
        <v>23</v>
      </c>
      <c r="P93" s="12" t="s">
        <v>903</v>
      </c>
      <c r="Q93" s="12" t="s">
        <v>904</v>
      </c>
      <c r="R93" s="1" t="str">
        <f>HYPERLINK("https://doi.org/10.1109/TNNLS.2016.2599820","10.1109/TNNLS.2016.2599820")</f>
        <v>10.1109/TNNLS.2016.2599820</v>
      </c>
    </row>
    <row r="94" spans="1:18" ht="24" x14ac:dyDescent="0.3">
      <c r="A94" s="28">
        <v>92</v>
      </c>
      <c r="B94" s="22" t="s">
        <v>905</v>
      </c>
      <c r="C94" s="15" t="s">
        <v>906</v>
      </c>
      <c r="D94" s="15">
        <v>2018</v>
      </c>
      <c r="E94" s="15" t="s">
        <v>907</v>
      </c>
      <c r="F94" s="15" t="s">
        <v>116</v>
      </c>
      <c r="G94" s="15" t="s">
        <v>117</v>
      </c>
      <c r="H94" s="15" t="s">
        <v>908</v>
      </c>
      <c r="I94" s="15" t="s">
        <v>909</v>
      </c>
      <c r="J94" s="15" t="s">
        <v>21</v>
      </c>
      <c r="K94" s="15" t="s">
        <v>477</v>
      </c>
      <c r="L94" s="13" t="s">
        <v>910</v>
      </c>
      <c r="M94" s="15" t="s">
        <v>132</v>
      </c>
      <c r="N94" s="13" t="s">
        <v>911</v>
      </c>
      <c r="O94" s="15" t="s">
        <v>23</v>
      </c>
      <c r="P94" s="13" t="s">
        <v>912</v>
      </c>
      <c r="Q94" s="13" t="s">
        <v>913</v>
      </c>
      <c r="R94" s="5" t="s">
        <v>1826</v>
      </c>
    </row>
    <row r="95" spans="1:18" ht="24" x14ac:dyDescent="0.3">
      <c r="A95" s="27">
        <v>93</v>
      </c>
      <c r="B95" s="20" t="s">
        <v>914</v>
      </c>
      <c r="C95" s="2" t="s">
        <v>915</v>
      </c>
      <c r="D95" s="2">
        <v>2018</v>
      </c>
      <c r="E95" s="2" t="s">
        <v>916</v>
      </c>
      <c r="F95" s="2" t="s">
        <v>39</v>
      </c>
      <c r="G95" s="2" t="s">
        <v>62</v>
      </c>
      <c r="H95" s="2" t="s">
        <v>917</v>
      </c>
      <c r="I95" s="2" t="s">
        <v>918</v>
      </c>
      <c r="J95" s="2" t="s">
        <v>21</v>
      </c>
      <c r="K95" s="2" t="s">
        <v>919</v>
      </c>
      <c r="L95" s="12" t="s">
        <v>920</v>
      </c>
      <c r="M95" s="2" t="s">
        <v>921</v>
      </c>
      <c r="N95" s="12" t="s">
        <v>922</v>
      </c>
      <c r="O95" s="2" t="s">
        <v>23</v>
      </c>
      <c r="P95" s="12" t="s">
        <v>923</v>
      </c>
      <c r="Q95" s="12" t="s">
        <v>924</v>
      </c>
      <c r="R95" s="1" t="s">
        <v>1812</v>
      </c>
    </row>
    <row r="96" spans="1:18" ht="34.200000000000003" x14ac:dyDescent="0.3">
      <c r="A96" s="28">
        <v>94</v>
      </c>
      <c r="B96" s="22" t="s">
        <v>925</v>
      </c>
      <c r="C96" s="15" t="s">
        <v>926</v>
      </c>
      <c r="D96" s="15">
        <v>2024</v>
      </c>
      <c r="E96" s="15" t="s">
        <v>927</v>
      </c>
      <c r="F96" s="15" t="s">
        <v>19</v>
      </c>
      <c r="G96" s="15" t="s">
        <v>50</v>
      </c>
      <c r="H96" s="15" t="s">
        <v>928</v>
      </c>
      <c r="I96" s="15" t="s">
        <v>764</v>
      </c>
      <c r="J96" s="15" t="s">
        <v>179</v>
      </c>
      <c r="K96" s="15" t="s">
        <v>929</v>
      </c>
      <c r="L96" s="13" t="s">
        <v>930</v>
      </c>
      <c r="M96" s="15" t="s">
        <v>22</v>
      </c>
      <c r="N96" s="13" t="s">
        <v>931</v>
      </c>
      <c r="O96" s="15" t="s">
        <v>23</v>
      </c>
      <c r="P96" s="13" t="s">
        <v>932</v>
      </c>
      <c r="Q96" s="13" t="s">
        <v>933</v>
      </c>
      <c r="R96" s="5" t="str">
        <f>HYPERLINK("https://doi.org/10.1016/j.compeleceng.2024.109370","10.1016/j.compeleceng.2024.109370")</f>
        <v>10.1016/j.compeleceng.2024.109370</v>
      </c>
    </row>
    <row r="97" spans="1:18" ht="24" x14ac:dyDescent="0.3">
      <c r="A97" s="27">
        <v>95</v>
      </c>
      <c r="B97" s="20" t="s">
        <v>934</v>
      </c>
      <c r="C97" s="2" t="s">
        <v>935</v>
      </c>
      <c r="D97" s="2">
        <v>2025</v>
      </c>
      <c r="E97" s="2" t="s">
        <v>936</v>
      </c>
      <c r="F97" s="2" t="s">
        <v>19</v>
      </c>
      <c r="G97" s="2" t="s">
        <v>50</v>
      </c>
      <c r="H97" s="2" t="s">
        <v>937</v>
      </c>
      <c r="I97" s="2" t="s">
        <v>938</v>
      </c>
      <c r="J97" s="2" t="s">
        <v>179</v>
      </c>
      <c r="K97" s="2" t="s">
        <v>939</v>
      </c>
      <c r="L97" s="12" t="s">
        <v>940</v>
      </c>
      <c r="M97" s="2" t="s">
        <v>22</v>
      </c>
      <c r="N97" s="12" t="s">
        <v>941</v>
      </c>
      <c r="O97" s="2" t="s">
        <v>23</v>
      </c>
      <c r="P97" s="12" t="s">
        <v>942</v>
      </c>
      <c r="Q97" s="12" t="s">
        <v>943</v>
      </c>
      <c r="R97" s="1" t="s">
        <v>1827</v>
      </c>
    </row>
    <row r="98" spans="1:18" ht="24" x14ac:dyDescent="0.3">
      <c r="A98" s="28">
        <v>96</v>
      </c>
      <c r="B98" s="22" t="s">
        <v>944</v>
      </c>
      <c r="C98" s="15" t="s">
        <v>945</v>
      </c>
      <c r="D98" s="15">
        <v>2025</v>
      </c>
      <c r="E98" s="15" t="s">
        <v>946</v>
      </c>
      <c r="F98" s="15" t="s">
        <v>19</v>
      </c>
      <c r="G98" s="15" t="s">
        <v>50</v>
      </c>
      <c r="H98" s="15" t="s">
        <v>745</v>
      </c>
      <c r="I98" s="15" t="s">
        <v>947</v>
      </c>
      <c r="J98" s="15" t="s">
        <v>179</v>
      </c>
      <c r="K98" s="15" t="s">
        <v>948</v>
      </c>
      <c r="L98" s="13" t="s">
        <v>949</v>
      </c>
      <c r="M98" s="15" t="s">
        <v>22</v>
      </c>
      <c r="N98" s="13" t="s">
        <v>950</v>
      </c>
      <c r="O98" s="15" t="s">
        <v>23</v>
      </c>
      <c r="P98" s="13" t="s">
        <v>951</v>
      </c>
      <c r="Q98" s="13" t="s">
        <v>952</v>
      </c>
      <c r="R98" s="5" t="s">
        <v>1828</v>
      </c>
    </row>
    <row r="99" spans="1:18" ht="22.8" x14ac:dyDescent="0.3">
      <c r="A99" s="27">
        <v>97</v>
      </c>
      <c r="B99" s="20" t="s">
        <v>953</v>
      </c>
      <c r="C99" s="2" t="s">
        <v>954</v>
      </c>
      <c r="D99" s="2">
        <v>2024</v>
      </c>
      <c r="E99" s="2" t="s">
        <v>955</v>
      </c>
      <c r="F99" s="2" t="s">
        <v>19</v>
      </c>
      <c r="G99" s="2" t="s">
        <v>117</v>
      </c>
      <c r="H99" s="2" t="s">
        <v>956</v>
      </c>
      <c r="I99" s="2" t="s">
        <v>957</v>
      </c>
      <c r="J99" s="2" t="s">
        <v>35</v>
      </c>
      <c r="K99" s="2" t="s">
        <v>958</v>
      </c>
      <c r="L99" s="12" t="s">
        <v>959</v>
      </c>
      <c r="M99" s="2" t="s">
        <v>22</v>
      </c>
      <c r="N99" s="12" t="s">
        <v>960</v>
      </c>
      <c r="O99" s="2" t="s">
        <v>23</v>
      </c>
      <c r="P99" s="12" t="s">
        <v>961</v>
      </c>
      <c r="Q99" s="12" t="s">
        <v>962</v>
      </c>
      <c r="R99" s="1" t="str">
        <f>HYPERLINK("https://doi.org/10.1016/j.csbj.2024.07.010","10.1016/j.csbj.2024.07.010")</f>
        <v>10.1016/j.csbj.2024.07.010</v>
      </c>
    </row>
    <row r="100" spans="1:18" ht="24" x14ac:dyDescent="0.3">
      <c r="A100" s="28">
        <v>98</v>
      </c>
      <c r="B100" s="22" t="s">
        <v>963</v>
      </c>
      <c r="C100" s="15" t="s">
        <v>964</v>
      </c>
      <c r="D100" s="15">
        <v>2025</v>
      </c>
      <c r="E100" s="15" t="s">
        <v>955</v>
      </c>
      <c r="F100" s="15" t="s">
        <v>19</v>
      </c>
      <c r="G100" s="15" t="s">
        <v>50</v>
      </c>
      <c r="H100" s="15" t="s">
        <v>208</v>
      </c>
      <c r="I100" s="15" t="s">
        <v>965</v>
      </c>
      <c r="J100" s="15" t="s">
        <v>179</v>
      </c>
      <c r="K100" s="15" t="s">
        <v>966</v>
      </c>
      <c r="L100" s="13" t="s">
        <v>967</v>
      </c>
      <c r="M100" s="15" t="s">
        <v>22</v>
      </c>
      <c r="N100" s="13" t="s">
        <v>968</v>
      </c>
      <c r="O100" s="15" t="s">
        <v>23</v>
      </c>
      <c r="P100" s="13" t="s">
        <v>969</v>
      </c>
      <c r="Q100" s="13" t="s">
        <v>970</v>
      </c>
      <c r="R100" s="5" t="s">
        <v>1829</v>
      </c>
    </row>
    <row r="101" spans="1:18" ht="24" x14ac:dyDescent="0.3">
      <c r="A101" s="27">
        <v>99</v>
      </c>
      <c r="B101" s="20" t="s">
        <v>971</v>
      </c>
      <c r="C101" s="2" t="s">
        <v>972</v>
      </c>
      <c r="D101" s="2">
        <v>2025</v>
      </c>
      <c r="E101" s="2" t="s">
        <v>973</v>
      </c>
      <c r="F101" s="2" t="s">
        <v>19</v>
      </c>
      <c r="G101" s="2" t="s">
        <v>74</v>
      </c>
      <c r="H101" s="2" t="s">
        <v>974</v>
      </c>
      <c r="I101" s="2" t="s">
        <v>975</v>
      </c>
      <c r="J101" s="2" t="s">
        <v>21</v>
      </c>
      <c r="K101" s="2" t="s">
        <v>976</v>
      </c>
      <c r="L101" s="12" t="s">
        <v>977</v>
      </c>
      <c r="M101" s="2" t="s">
        <v>22</v>
      </c>
      <c r="N101" s="12" t="s">
        <v>978</v>
      </c>
      <c r="O101" s="2" t="s">
        <v>23</v>
      </c>
      <c r="P101" s="12" t="s">
        <v>24</v>
      </c>
      <c r="Q101" s="12" t="s">
        <v>979</v>
      </c>
      <c r="R101" s="1" t="s">
        <v>1830</v>
      </c>
    </row>
    <row r="102" spans="1:18" ht="24" x14ac:dyDescent="0.3">
      <c r="A102" s="28">
        <v>100</v>
      </c>
      <c r="B102" s="22" t="s">
        <v>980</v>
      </c>
      <c r="C102" s="15" t="s">
        <v>981</v>
      </c>
      <c r="D102" s="15">
        <v>2025</v>
      </c>
      <c r="E102" s="15" t="s">
        <v>946</v>
      </c>
      <c r="F102" s="15" t="s">
        <v>19</v>
      </c>
      <c r="G102" s="15" t="s">
        <v>74</v>
      </c>
      <c r="H102" s="15" t="s">
        <v>320</v>
      </c>
      <c r="I102" s="15" t="s">
        <v>982</v>
      </c>
      <c r="J102" s="15" t="s">
        <v>21</v>
      </c>
      <c r="K102" s="15" t="s">
        <v>983</v>
      </c>
      <c r="L102" s="13" t="s">
        <v>984</v>
      </c>
      <c r="M102" s="15" t="s">
        <v>22</v>
      </c>
      <c r="N102" s="13" t="s">
        <v>985</v>
      </c>
      <c r="O102" s="15" t="s">
        <v>23</v>
      </c>
      <c r="P102" s="13" t="s">
        <v>986</v>
      </c>
      <c r="Q102" s="13" t="s">
        <v>987</v>
      </c>
      <c r="R102" s="5" t="s">
        <v>1828</v>
      </c>
    </row>
    <row r="103" spans="1:18" ht="24" x14ac:dyDescent="0.3">
      <c r="A103" s="27">
        <v>101</v>
      </c>
      <c r="B103" s="20" t="s">
        <v>988</v>
      </c>
      <c r="C103" s="2" t="s">
        <v>989</v>
      </c>
      <c r="D103" s="2">
        <v>2025</v>
      </c>
      <c r="E103" s="2" t="s">
        <v>990</v>
      </c>
      <c r="F103" s="2" t="s">
        <v>19</v>
      </c>
      <c r="G103" s="2" t="s">
        <v>74</v>
      </c>
      <c r="H103" s="2" t="s">
        <v>991</v>
      </c>
      <c r="I103" s="2" t="s">
        <v>992</v>
      </c>
      <c r="J103" s="2" t="s">
        <v>21</v>
      </c>
      <c r="K103" s="2" t="s">
        <v>993</v>
      </c>
      <c r="L103" s="12" t="s">
        <v>994</v>
      </c>
      <c r="M103" s="2" t="s">
        <v>22</v>
      </c>
      <c r="N103" s="12" t="s">
        <v>995</v>
      </c>
      <c r="O103" s="2" t="s">
        <v>23</v>
      </c>
      <c r="P103" s="12" t="s">
        <v>996</v>
      </c>
      <c r="Q103" s="12" t="s">
        <v>997</v>
      </c>
      <c r="R103" s="1" t="s">
        <v>1831</v>
      </c>
    </row>
    <row r="104" spans="1:18" ht="24" x14ac:dyDescent="0.3">
      <c r="A104" s="28">
        <v>102</v>
      </c>
      <c r="B104" s="22" t="s">
        <v>998</v>
      </c>
      <c r="C104" s="15" t="s">
        <v>999</v>
      </c>
      <c r="D104" s="15">
        <v>2025</v>
      </c>
      <c r="E104" s="15" t="s">
        <v>1000</v>
      </c>
      <c r="F104" s="15" t="s">
        <v>19</v>
      </c>
      <c r="G104" s="15" t="s">
        <v>117</v>
      </c>
      <c r="H104" s="15" t="s">
        <v>956</v>
      </c>
      <c r="I104" s="15" t="s">
        <v>1001</v>
      </c>
      <c r="J104" s="15" t="s">
        <v>200</v>
      </c>
      <c r="K104" s="15" t="s">
        <v>1002</v>
      </c>
      <c r="L104" s="13" t="s">
        <v>959</v>
      </c>
      <c r="M104" s="15" t="s">
        <v>22</v>
      </c>
      <c r="N104" s="13" t="s">
        <v>1003</v>
      </c>
      <c r="O104" s="15" t="s">
        <v>23</v>
      </c>
      <c r="P104" s="13" t="s">
        <v>1004</v>
      </c>
      <c r="Q104" s="13" t="s">
        <v>1005</v>
      </c>
      <c r="R104" s="5" t="s">
        <v>1832</v>
      </c>
    </row>
    <row r="105" spans="1:18" ht="22.8" x14ac:dyDescent="0.3">
      <c r="A105" s="27">
        <v>103</v>
      </c>
      <c r="B105" s="20" t="s">
        <v>1006</v>
      </c>
      <c r="C105" s="2" t="s">
        <v>1007</v>
      </c>
      <c r="D105" s="2">
        <v>2014</v>
      </c>
      <c r="E105" s="2" t="s">
        <v>157</v>
      </c>
      <c r="F105" s="2" t="s">
        <v>116</v>
      </c>
      <c r="G105" s="2" t="s">
        <v>117</v>
      </c>
      <c r="H105" s="2" t="s">
        <v>1008</v>
      </c>
      <c r="I105" s="2" t="s">
        <v>1009</v>
      </c>
      <c r="J105" s="2" t="s">
        <v>35</v>
      </c>
      <c r="K105" s="2" t="s">
        <v>477</v>
      </c>
      <c r="L105" s="12" t="s">
        <v>478</v>
      </c>
      <c r="M105" s="2" t="s">
        <v>132</v>
      </c>
      <c r="N105" s="12" t="s">
        <v>1010</v>
      </c>
      <c r="O105" s="2" t="s">
        <v>23</v>
      </c>
      <c r="P105" s="12" t="s">
        <v>1011</v>
      </c>
      <c r="Q105" s="12" t="s">
        <v>1012</v>
      </c>
      <c r="R105" s="1" t="str">
        <f>HYPERLINK("https://doi.org/10.48550/arXiv.1409.1556","10.48550/arXiv.1409.1556")</f>
        <v>10.48550/arXiv.1409.1556</v>
      </c>
    </row>
    <row r="106" spans="1:18" ht="24" x14ac:dyDescent="0.3">
      <c r="A106" s="28">
        <v>104</v>
      </c>
      <c r="B106" s="22" t="s">
        <v>1013</v>
      </c>
      <c r="C106" s="15" t="s">
        <v>1014</v>
      </c>
      <c r="D106" s="15">
        <v>2025</v>
      </c>
      <c r="E106" s="15" t="s">
        <v>973</v>
      </c>
      <c r="F106" s="15" t="s">
        <v>19</v>
      </c>
      <c r="G106" s="15" t="s">
        <v>117</v>
      </c>
      <c r="H106" s="15" t="s">
        <v>1015</v>
      </c>
      <c r="I106" s="15" t="s">
        <v>129</v>
      </c>
      <c r="J106" s="15" t="s">
        <v>35</v>
      </c>
      <c r="K106" s="15" t="s">
        <v>1016</v>
      </c>
      <c r="L106" s="13" t="s">
        <v>1017</v>
      </c>
      <c r="M106" s="15" t="s">
        <v>22</v>
      </c>
      <c r="N106" s="13" t="s">
        <v>1018</v>
      </c>
      <c r="O106" s="15" t="s">
        <v>23</v>
      </c>
      <c r="P106" s="13" t="s">
        <v>1019</v>
      </c>
      <c r="Q106" s="13" t="s">
        <v>1020</v>
      </c>
      <c r="R106" s="5" t="s">
        <v>1830</v>
      </c>
    </row>
    <row r="107" spans="1:18" ht="24" x14ac:dyDescent="0.3">
      <c r="A107" s="27">
        <v>105</v>
      </c>
      <c r="B107" s="20" t="s">
        <v>1021</v>
      </c>
      <c r="C107" s="2" t="s">
        <v>1022</v>
      </c>
      <c r="D107" s="2">
        <v>2025</v>
      </c>
      <c r="E107" s="2" t="s">
        <v>1023</v>
      </c>
      <c r="F107" s="2" t="s">
        <v>19</v>
      </c>
      <c r="G107" s="2" t="s">
        <v>74</v>
      </c>
      <c r="H107" s="2" t="s">
        <v>330</v>
      </c>
      <c r="I107" s="2" t="s">
        <v>1024</v>
      </c>
      <c r="J107" s="2" t="s">
        <v>21</v>
      </c>
      <c r="K107" s="2" t="s">
        <v>1025</v>
      </c>
      <c r="L107" s="12" t="s">
        <v>1026</v>
      </c>
      <c r="M107" s="2" t="s">
        <v>22</v>
      </c>
      <c r="N107" s="12" t="s">
        <v>1027</v>
      </c>
      <c r="O107" s="2" t="s">
        <v>23</v>
      </c>
      <c r="P107" s="12" t="s">
        <v>1028</v>
      </c>
      <c r="Q107" s="12" t="s">
        <v>1029</v>
      </c>
      <c r="R107" s="1" t="s">
        <v>1833</v>
      </c>
    </row>
    <row r="108" spans="1:18" ht="24" x14ac:dyDescent="0.3">
      <c r="A108" s="28">
        <v>106</v>
      </c>
      <c r="B108" s="22" t="s">
        <v>1030</v>
      </c>
      <c r="C108" s="15" t="s">
        <v>1031</v>
      </c>
      <c r="D108" s="15">
        <v>2025</v>
      </c>
      <c r="E108" s="15" t="s">
        <v>1784</v>
      </c>
      <c r="F108" s="15" t="s">
        <v>19</v>
      </c>
      <c r="G108" s="15" t="s">
        <v>50</v>
      </c>
      <c r="H108" s="15" t="s">
        <v>745</v>
      </c>
      <c r="I108" s="15" t="s">
        <v>1032</v>
      </c>
      <c r="J108" s="15" t="s">
        <v>179</v>
      </c>
      <c r="K108" s="15" t="s">
        <v>1033</v>
      </c>
      <c r="L108" s="13" t="s">
        <v>1034</v>
      </c>
      <c r="M108" s="15" t="s">
        <v>26</v>
      </c>
      <c r="N108" s="13" t="s">
        <v>1035</v>
      </c>
      <c r="O108" s="15" t="s">
        <v>23</v>
      </c>
      <c r="P108" s="13" t="s">
        <v>1036</v>
      </c>
      <c r="Q108" s="13" t="s">
        <v>1037</v>
      </c>
      <c r="R108" s="5" t="s">
        <v>1834</v>
      </c>
    </row>
    <row r="109" spans="1:18" ht="24" x14ac:dyDescent="0.3">
      <c r="A109" s="27">
        <v>107</v>
      </c>
      <c r="B109" s="20" t="s">
        <v>1038</v>
      </c>
      <c r="C109" s="2" t="s">
        <v>1039</v>
      </c>
      <c r="D109" s="2">
        <v>2018</v>
      </c>
      <c r="E109" s="2" t="s">
        <v>628</v>
      </c>
      <c r="F109" s="2" t="s">
        <v>19</v>
      </c>
      <c r="G109" s="2" t="s">
        <v>117</v>
      </c>
      <c r="H109" s="2" t="s">
        <v>1040</v>
      </c>
      <c r="I109" s="2" t="s">
        <v>1041</v>
      </c>
      <c r="J109" s="2" t="s">
        <v>35</v>
      </c>
      <c r="K109" s="2" t="s">
        <v>1042</v>
      </c>
      <c r="L109" s="12" t="s">
        <v>1043</v>
      </c>
      <c r="M109" s="2" t="s">
        <v>67</v>
      </c>
      <c r="N109" s="12" t="s">
        <v>1044</v>
      </c>
      <c r="O109" s="2" t="s">
        <v>23</v>
      </c>
      <c r="P109" s="12" t="s">
        <v>1045</v>
      </c>
      <c r="Q109" s="12" t="s">
        <v>1046</v>
      </c>
      <c r="R109" s="1" t="s">
        <v>1813</v>
      </c>
    </row>
    <row r="110" spans="1:18" ht="24" x14ac:dyDescent="0.3">
      <c r="A110" s="28">
        <v>108</v>
      </c>
      <c r="B110" s="22" t="s">
        <v>1047</v>
      </c>
      <c r="C110" s="15" t="s">
        <v>1048</v>
      </c>
      <c r="D110" s="15">
        <v>2025</v>
      </c>
      <c r="E110" s="15" t="s">
        <v>1049</v>
      </c>
      <c r="F110" s="15" t="s">
        <v>19</v>
      </c>
      <c r="G110" s="15" t="s">
        <v>578</v>
      </c>
      <c r="H110" s="15" t="s">
        <v>1050</v>
      </c>
      <c r="I110" s="15" t="s">
        <v>1051</v>
      </c>
      <c r="J110" s="15" t="s">
        <v>35</v>
      </c>
      <c r="K110" s="15" t="s">
        <v>1052</v>
      </c>
      <c r="L110" s="13" t="s">
        <v>1053</v>
      </c>
      <c r="M110" s="15" t="s">
        <v>26</v>
      </c>
      <c r="N110" s="13" t="s">
        <v>1054</v>
      </c>
      <c r="O110" s="15" t="s">
        <v>23</v>
      </c>
      <c r="P110" s="13" t="s">
        <v>1055</v>
      </c>
      <c r="Q110" s="13" t="s">
        <v>1037</v>
      </c>
      <c r="R110" s="5" t="s">
        <v>1835</v>
      </c>
    </row>
    <row r="111" spans="1:18" ht="24" x14ac:dyDescent="0.3">
      <c r="A111" s="27">
        <v>109</v>
      </c>
      <c r="B111" s="20" t="s">
        <v>1056</v>
      </c>
      <c r="C111" s="2" t="s">
        <v>1057</v>
      </c>
      <c r="D111" s="2">
        <v>2025</v>
      </c>
      <c r="E111" s="2" t="s">
        <v>1058</v>
      </c>
      <c r="F111" s="2" t="s">
        <v>19</v>
      </c>
      <c r="G111" s="2" t="s">
        <v>50</v>
      </c>
      <c r="H111" s="2" t="s">
        <v>1059</v>
      </c>
      <c r="I111" s="2" t="s">
        <v>1060</v>
      </c>
      <c r="J111" s="2" t="s">
        <v>200</v>
      </c>
      <c r="K111" s="2" t="s">
        <v>1061</v>
      </c>
      <c r="L111" s="12" t="s">
        <v>1062</v>
      </c>
      <c r="M111" s="2" t="s">
        <v>29</v>
      </c>
      <c r="N111" s="12" t="s">
        <v>1063</v>
      </c>
      <c r="O111" s="2" t="s">
        <v>23</v>
      </c>
      <c r="P111" s="12" t="s">
        <v>1064</v>
      </c>
      <c r="Q111" s="12" t="s">
        <v>1065</v>
      </c>
      <c r="R111" s="1" t="s">
        <v>1836</v>
      </c>
    </row>
    <row r="112" spans="1:18" ht="22.8" x14ac:dyDescent="0.3">
      <c r="A112" s="28">
        <v>110</v>
      </c>
      <c r="B112" s="22" t="s">
        <v>1066</v>
      </c>
      <c r="C112" s="15" t="s">
        <v>1067</v>
      </c>
      <c r="D112" s="15">
        <v>2024</v>
      </c>
      <c r="E112" s="15" t="s">
        <v>1068</v>
      </c>
      <c r="F112" s="15" t="s">
        <v>19</v>
      </c>
      <c r="G112" s="15" t="s">
        <v>117</v>
      </c>
      <c r="H112" s="15" t="s">
        <v>1069</v>
      </c>
      <c r="I112" s="15" t="s">
        <v>1070</v>
      </c>
      <c r="J112" s="15" t="s">
        <v>35</v>
      </c>
      <c r="K112" s="15" t="s">
        <v>1071</v>
      </c>
      <c r="L112" s="13" t="s">
        <v>775</v>
      </c>
      <c r="M112" s="15" t="s">
        <v>22</v>
      </c>
      <c r="N112" s="13" t="s">
        <v>1072</v>
      </c>
      <c r="O112" s="15" t="s">
        <v>23</v>
      </c>
      <c r="P112" s="13" t="s">
        <v>1073</v>
      </c>
      <c r="Q112" s="13" t="s">
        <v>1074</v>
      </c>
      <c r="R112" s="5" t="str">
        <f>HYPERLINK("https://doi.org/10.1038/s41746-024-01166-w","10.1038/s41746-024-01166-w")</f>
        <v>10.1038/s41746-024-01166-w</v>
      </c>
    </row>
    <row r="113" spans="1:18" ht="24" x14ac:dyDescent="0.3">
      <c r="A113" s="27">
        <v>111</v>
      </c>
      <c r="B113" s="20" t="s">
        <v>1075</v>
      </c>
      <c r="C113" s="2" t="s">
        <v>1076</v>
      </c>
      <c r="D113" s="2">
        <v>2025</v>
      </c>
      <c r="E113" s="2" t="s">
        <v>1049</v>
      </c>
      <c r="F113" s="2" t="s">
        <v>19</v>
      </c>
      <c r="G113" s="2" t="s">
        <v>74</v>
      </c>
      <c r="H113" s="2" t="s">
        <v>991</v>
      </c>
      <c r="I113" s="2" t="s">
        <v>992</v>
      </c>
      <c r="J113" s="2" t="s">
        <v>21</v>
      </c>
      <c r="K113" s="2" t="s">
        <v>1077</v>
      </c>
      <c r="L113" s="12" t="s">
        <v>1026</v>
      </c>
      <c r="M113" s="2" t="s">
        <v>22</v>
      </c>
      <c r="N113" s="12" t="s">
        <v>1078</v>
      </c>
      <c r="O113" s="2" t="s">
        <v>23</v>
      </c>
      <c r="P113" s="12" t="s">
        <v>1079</v>
      </c>
      <c r="Q113" s="12" t="s">
        <v>1080</v>
      </c>
      <c r="R113" s="1" t="s">
        <v>1835</v>
      </c>
    </row>
    <row r="114" spans="1:18" ht="24" x14ac:dyDescent="0.3">
      <c r="A114" s="28">
        <v>112</v>
      </c>
      <c r="B114" s="22" t="s">
        <v>1081</v>
      </c>
      <c r="C114" s="15" t="s">
        <v>1082</v>
      </c>
      <c r="D114" s="15">
        <v>2025</v>
      </c>
      <c r="E114" s="15" t="s">
        <v>1083</v>
      </c>
      <c r="F114" s="15" t="s">
        <v>19</v>
      </c>
      <c r="G114" s="15" t="s">
        <v>74</v>
      </c>
      <c r="H114" s="15" t="s">
        <v>1084</v>
      </c>
      <c r="I114" s="15" t="s">
        <v>28</v>
      </c>
      <c r="J114" s="15" t="s">
        <v>21</v>
      </c>
      <c r="K114" s="15" t="s">
        <v>1085</v>
      </c>
      <c r="L114" s="13" t="s">
        <v>1086</v>
      </c>
      <c r="M114" s="15" t="s">
        <v>22</v>
      </c>
      <c r="N114" s="13" t="s">
        <v>1087</v>
      </c>
      <c r="O114" s="15" t="s">
        <v>23</v>
      </c>
      <c r="P114" s="13" t="s">
        <v>1088</v>
      </c>
      <c r="Q114" s="13" t="s">
        <v>1089</v>
      </c>
      <c r="R114" s="5" t="s">
        <v>1837</v>
      </c>
    </row>
    <row r="115" spans="1:18" ht="34.200000000000003" x14ac:dyDescent="0.3">
      <c r="A115" s="27">
        <v>113</v>
      </c>
      <c r="B115" s="20" t="s">
        <v>1090</v>
      </c>
      <c r="C115" s="2" t="s">
        <v>1091</v>
      </c>
      <c r="D115" s="2">
        <v>2025</v>
      </c>
      <c r="E115" s="2" t="s">
        <v>1092</v>
      </c>
      <c r="F115" s="2" t="s">
        <v>19</v>
      </c>
      <c r="G115" s="2" t="s">
        <v>74</v>
      </c>
      <c r="H115" s="2" t="s">
        <v>1093</v>
      </c>
      <c r="I115" s="2" t="s">
        <v>1094</v>
      </c>
      <c r="J115" s="2" t="s">
        <v>200</v>
      </c>
      <c r="K115" s="2" t="s">
        <v>1095</v>
      </c>
      <c r="L115" s="12" t="s">
        <v>1096</v>
      </c>
      <c r="M115" s="2" t="s">
        <v>22</v>
      </c>
      <c r="N115" s="12" t="s">
        <v>1097</v>
      </c>
      <c r="O115" s="2" t="s">
        <v>23</v>
      </c>
      <c r="P115" s="12" t="s">
        <v>1098</v>
      </c>
      <c r="Q115" s="12" t="s">
        <v>1099</v>
      </c>
      <c r="R115" s="1" t="s">
        <v>1838</v>
      </c>
    </row>
    <row r="116" spans="1:18" ht="34.200000000000003" x14ac:dyDescent="0.3">
      <c r="A116" s="28">
        <v>114</v>
      </c>
      <c r="B116" s="22" t="s">
        <v>1100</v>
      </c>
      <c r="C116" s="15" t="s">
        <v>1101</v>
      </c>
      <c r="D116" s="15">
        <v>2025</v>
      </c>
      <c r="E116" s="15" t="s">
        <v>1092</v>
      </c>
      <c r="F116" s="15" t="s">
        <v>19</v>
      </c>
      <c r="G116" s="15" t="s">
        <v>74</v>
      </c>
      <c r="H116" s="15" t="s">
        <v>1102</v>
      </c>
      <c r="I116" s="15" t="s">
        <v>992</v>
      </c>
      <c r="J116" s="15" t="s">
        <v>21</v>
      </c>
      <c r="K116" s="15" t="s">
        <v>1103</v>
      </c>
      <c r="L116" s="13" t="s">
        <v>1104</v>
      </c>
      <c r="M116" s="15" t="s">
        <v>22</v>
      </c>
      <c r="N116" s="13" t="s">
        <v>1105</v>
      </c>
      <c r="O116" s="15" t="s">
        <v>23</v>
      </c>
      <c r="P116" s="13" t="s">
        <v>1106</v>
      </c>
      <c r="Q116" s="13" t="s">
        <v>1107</v>
      </c>
      <c r="R116" s="5" t="s">
        <v>1838</v>
      </c>
    </row>
    <row r="117" spans="1:18" ht="24" x14ac:dyDescent="0.3">
      <c r="A117" s="27">
        <v>115</v>
      </c>
      <c r="B117" s="20" t="s">
        <v>1108</v>
      </c>
      <c r="C117" s="2" t="s">
        <v>1109</v>
      </c>
      <c r="D117" s="2">
        <v>2025</v>
      </c>
      <c r="E117" s="2" t="s">
        <v>973</v>
      </c>
      <c r="F117" s="2" t="s">
        <v>19</v>
      </c>
      <c r="G117" s="2" t="s">
        <v>74</v>
      </c>
      <c r="H117" s="2" t="s">
        <v>1110</v>
      </c>
      <c r="I117" s="2" t="s">
        <v>1111</v>
      </c>
      <c r="J117" s="2" t="s">
        <v>179</v>
      </c>
      <c r="K117" s="2" t="s">
        <v>1112</v>
      </c>
      <c r="L117" s="12" t="s">
        <v>1113</v>
      </c>
      <c r="M117" s="2" t="s">
        <v>22</v>
      </c>
      <c r="N117" s="12" t="s">
        <v>1114</v>
      </c>
      <c r="O117" s="2" t="s">
        <v>23</v>
      </c>
      <c r="P117" s="12" t="s">
        <v>1115</v>
      </c>
      <c r="Q117" s="12" t="s">
        <v>1116</v>
      </c>
      <c r="R117" s="1" t="s">
        <v>1830</v>
      </c>
    </row>
    <row r="118" spans="1:18" ht="34.200000000000003" x14ac:dyDescent="0.3">
      <c r="A118" s="28">
        <v>116</v>
      </c>
      <c r="B118" s="22" t="s">
        <v>1117</v>
      </c>
      <c r="C118" s="15" t="s">
        <v>1118</v>
      </c>
      <c r="D118" s="15">
        <v>2024</v>
      </c>
      <c r="E118" s="15" t="s">
        <v>1119</v>
      </c>
      <c r="F118" s="15" t="s">
        <v>19</v>
      </c>
      <c r="G118" s="15" t="s">
        <v>50</v>
      </c>
      <c r="H118" s="15" t="s">
        <v>1120</v>
      </c>
      <c r="I118" s="15" t="s">
        <v>1121</v>
      </c>
      <c r="J118" s="15" t="s">
        <v>179</v>
      </c>
      <c r="K118" s="15" t="s">
        <v>1122</v>
      </c>
      <c r="L118" s="13" t="s">
        <v>1123</v>
      </c>
      <c r="M118" s="15" t="s">
        <v>26</v>
      </c>
      <c r="N118" s="13" t="s">
        <v>1124</v>
      </c>
      <c r="O118" s="15" t="s">
        <v>23</v>
      </c>
      <c r="P118" s="13" t="s">
        <v>1125</v>
      </c>
      <c r="Q118" s="13" t="s">
        <v>1126</v>
      </c>
      <c r="R118" s="5" t="str">
        <f>HYPERLINK("https://doi.org/10.2196/53207","10.2196/53207")</f>
        <v>10.2196/53207</v>
      </c>
    </row>
    <row r="119" spans="1:18" ht="34.200000000000003" x14ac:dyDescent="0.3">
      <c r="A119" s="27">
        <v>117</v>
      </c>
      <c r="B119" s="20" t="s">
        <v>1127</v>
      </c>
      <c r="C119" s="2" t="s">
        <v>1128</v>
      </c>
      <c r="D119" s="2">
        <v>2025</v>
      </c>
      <c r="E119" s="2" t="s">
        <v>1129</v>
      </c>
      <c r="F119" s="2" t="s">
        <v>19</v>
      </c>
      <c r="G119" s="2" t="s">
        <v>50</v>
      </c>
      <c r="H119" s="2" t="s">
        <v>745</v>
      </c>
      <c r="I119" s="2" t="s">
        <v>1130</v>
      </c>
      <c r="J119" s="2" t="s">
        <v>179</v>
      </c>
      <c r="K119" s="2" t="s">
        <v>1131</v>
      </c>
      <c r="L119" s="12" t="s">
        <v>1132</v>
      </c>
      <c r="M119" s="2" t="s">
        <v>22</v>
      </c>
      <c r="N119" s="12" t="s">
        <v>1133</v>
      </c>
      <c r="O119" s="2" t="s">
        <v>23</v>
      </c>
      <c r="P119" s="12" t="s">
        <v>1134</v>
      </c>
      <c r="Q119" s="12" t="s">
        <v>1135</v>
      </c>
      <c r="R119" s="1" t="s">
        <v>1839</v>
      </c>
    </row>
    <row r="120" spans="1:18" ht="24" x14ac:dyDescent="0.3">
      <c r="A120" s="28">
        <v>118</v>
      </c>
      <c r="B120" s="22" t="s">
        <v>1136</v>
      </c>
      <c r="C120" s="15" t="s">
        <v>1137</v>
      </c>
      <c r="D120" s="15">
        <v>2025</v>
      </c>
      <c r="E120" s="15" t="s">
        <v>1138</v>
      </c>
      <c r="F120" s="15" t="s">
        <v>19</v>
      </c>
      <c r="G120" s="15" t="s">
        <v>50</v>
      </c>
      <c r="H120" s="15" t="s">
        <v>1139</v>
      </c>
      <c r="I120" s="15" t="s">
        <v>1140</v>
      </c>
      <c r="J120" s="15" t="s">
        <v>21</v>
      </c>
      <c r="K120" s="15" t="s">
        <v>1141</v>
      </c>
      <c r="L120" s="13" t="s">
        <v>1142</v>
      </c>
      <c r="M120" s="15" t="s">
        <v>22</v>
      </c>
      <c r="N120" s="13" t="s">
        <v>1143</v>
      </c>
      <c r="O120" s="15" t="s">
        <v>23</v>
      </c>
      <c r="P120" s="13" t="s">
        <v>1144</v>
      </c>
      <c r="Q120" s="13" t="s">
        <v>1145</v>
      </c>
      <c r="R120" s="5" t="s">
        <v>1840</v>
      </c>
    </row>
    <row r="121" spans="1:18" ht="22.8" x14ac:dyDescent="0.3">
      <c r="A121" s="27">
        <v>119</v>
      </c>
      <c r="B121" s="20" t="s">
        <v>1146</v>
      </c>
      <c r="C121" s="2" t="s">
        <v>1147</v>
      </c>
      <c r="D121" s="2">
        <v>2022</v>
      </c>
      <c r="E121" s="2" t="s">
        <v>157</v>
      </c>
      <c r="F121" s="2" t="s">
        <v>27</v>
      </c>
      <c r="G121" s="2" t="s">
        <v>50</v>
      </c>
      <c r="H121" s="2" t="s">
        <v>745</v>
      </c>
      <c r="I121" s="2" t="s">
        <v>1148</v>
      </c>
      <c r="J121" s="2" t="s">
        <v>1149</v>
      </c>
      <c r="K121" s="2" t="s">
        <v>1150</v>
      </c>
      <c r="L121" s="12" t="s">
        <v>1151</v>
      </c>
      <c r="M121" s="2" t="s">
        <v>22</v>
      </c>
      <c r="N121" s="12" t="s">
        <v>1152</v>
      </c>
      <c r="O121" s="2" t="s">
        <v>23</v>
      </c>
      <c r="P121" s="12" t="s">
        <v>1153</v>
      </c>
      <c r="Q121" s="12" t="s">
        <v>1154</v>
      </c>
      <c r="R121" s="1" t="str">
        <f>HYPERLINK("https://doi.org/10.48550/arXiv.2206.03585","10.48550/arXiv.2206.03585")</f>
        <v>10.48550/arXiv.2206.03585</v>
      </c>
    </row>
    <row r="122" spans="1:18" ht="24" x14ac:dyDescent="0.3">
      <c r="A122" s="28">
        <v>120</v>
      </c>
      <c r="B122" s="22" t="s">
        <v>1155</v>
      </c>
      <c r="C122" s="15" t="s">
        <v>1156</v>
      </c>
      <c r="D122" s="15">
        <v>2025</v>
      </c>
      <c r="E122" s="15" t="s">
        <v>1157</v>
      </c>
      <c r="F122" s="15" t="s">
        <v>27</v>
      </c>
      <c r="G122" s="15" t="s">
        <v>50</v>
      </c>
      <c r="H122" s="15" t="s">
        <v>745</v>
      </c>
      <c r="I122" s="15" t="s">
        <v>1158</v>
      </c>
      <c r="J122" s="15" t="s">
        <v>1149</v>
      </c>
      <c r="K122" s="15" t="s">
        <v>1159</v>
      </c>
      <c r="L122" s="13" t="s">
        <v>1160</v>
      </c>
      <c r="M122" s="15" t="s">
        <v>22</v>
      </c>
      <c r="N122" s="13" t="s">
        <v>1161</v>
      </c>
      <c r="O122" s="15" t="s">
        <v>23</v>
      </c>
      <c r="P122" s="13" t="s">
        <v>1162</v>
      </c>
      <c r="Q122" s="13" t="s">
        <v>1163</v>
      </c>
      <c r="R122" s="5" t="s">
        <v>1841</v>
      </c>
    </row>
    <row r="123" spans="1:18" ht="22.8" x14ac:dyDescent="0.3">
      <c r="A123" s="27">
        <v>121</v>
      </c>
      <c r="B123" s="20" t="s">
        <v>1164</v>
      </c>
      <c r="C123" s="2" t="s">
        <v>1165</v>
      </c>
      <c r="D123" s="2">
        <v>2009</v>
      </c>
      <c r="E123" s="2" t="s">
        <v>728</v>
      </c>
      <c r="F123" s="2" t="s">
        <v>27</v>
      </c>
      <c r="G123" s="2" t="s">
        <v>74</v>
      </c>
      <c r="H123" s="2" t="s">
        <v>1166</v>
      </c>
      <c r="I123" s="2" t="s">
        <v>1167</v>
      </c>
      <c r="J123" s="2" t="s">
        <v>33</v>
      </c>
      <c r="K123" s="2" t="s">
        <v>1168</v>
      </c>
      <c r="L123" s="12" t="s">
        <v>1169</v>
      </c>
      <c r="M123" s="2" t="s">
        <v>29</v>
      </c>
      <c r="N123" s="12" t="s">
        <v>1170</v>
      </c>
      <c r="O123" s="2" t="s">
        <v>23</v>
      </c>
      <c r="P123" s="12" t="s">
        <v>1171</v>
      </c>
      <c r="Q123" s="12" t="s">
        <v>1172</v>
      </c>
      <c r="R123" s="1" t="str">
        <f>HYPERLINK("https://doi.org/10.1145/1541880.1541882","10.1145/1541880.1541882")</f>
        <v>10.1145/1541880.1541882</v>
      </c>
    </row>
    <row r="124" spans="1:18" ht="22.8" x14ac:dyDescent="0.3">
      <c r="A124" s="28">
        <v>122</v>
      </c>
      <c r="B124" s="22" t="s">
        <v>1173</v>
      </c>
      <c r="C124" s="15" t="s">
        <v>1174</v>
      </c>
      <c r="D124" s="15">
        <v>2024</v>
      </c>
      <c r="E124" s="15" t="s">
        <v>1175</v>
      </c>
      <c r="F124" s="15" t="s">
        <v>27</v>
      </c>
      <c r="G124" s="15" t="s">
        <v>117</v>
      </c>
      <c r="H124" s="15" t="s">
        <v>588</v>
      </c>
      <c r="I124" s="15" t="s">
        <v>1176</v>
      </c>
      <c r="J124" s="15" t="s">
        <v>35</v>
      </c>
      <c r="K124" s="15" t="s">
        <v>1177</v>
      </c>
      <c r="L124" s="13" t="s">
        <v>1178</v>
      </c>
      <c r="M124" s="15" t="s">
        <v>22</v>
      </c>
      <c r="N124" s="13" t="s">
        <v>1179</v>
      </c>
      <c r="O124" s="15" t="s">
        <v>23</v>
      </c>
      <c r="P124" s="13" t="s">
        <v>1180</v>
      </c>
      <c r="Q124" s="13" t="s">
        <v>1181</v>
      </c>
      <c r="R124" s="5" t="str">
        <f>HYPERLINK("https://doi.org/10.3390/s24206690","10.3390/s24206690")</f>
        <v>10.3390/s24206690</v>
      </c>
    </row>
    <row r="125" spans="1:18" ht="24" x14ac:dyDescent="0.3">
      <c r="A125" s="27">
        <v>123</v>
      </c>
      <c r="B125" s="20" t="s">
        <v>1182</v>
      </c>
      <c r="C125" s="2" t="s">
        <v>1183</v>
      </c>
      <c r="D125" s="2">
        <v>2020</v>
      </c>
      <c r="E125" s="2" t="s">
        <v>1184</v>
      </c>
      <c r="F125" s="2" t="s">
        <v>27</v>
      </c>
      <c r="G125" s="2" t="s">
        <v>62</v>
      </c>
      <c r="H125" s="2" t="s">
        <v>1185</v>
      </c>
      <c r="I125" s="2" t="s">
        <v>1186</v>
      </c>
      <c r="J125" s="2" t="s">
        <v>21</v>
      </c>
      <c r="K125" s="2" t="s">
        <v>1187</v>
      </c>
      <c r="L125" s="12" t="s">
        <v>1188</v>
      </c>
      <c r="M125" s="2" t="s">
        <v>1189</v>
      </c>
      <c r="N125" s="12" t="s">
        <v>1190</v>
      </c>
      <c r="O125" s="2" t="s">
        <v>23</v>
      </c>
      <c r="P125" s="12" t="s">
        <v>1191</v>
      </c>
      <c r="Q125" s="12" t="s">
        <v>1192</v>
      </c>
      <c r="R125" s="1" t="str">
        <f>HYPERLINK("https://doi.org/10.1109/IJCNN48605.2020.9206780","10.1109/IJCNN48605.2020.9206780")</f>
        <v>10.1109/IJCNN48605.2020.9206780</v>
      </c>
    </row>
    <row r="126" spans="1:18" ht="22.8" x14ac:dyDescent="0.3">
      <c r="A126" s="28">
        <v>124</v>
      </c>
      <c r="B126" s="22" t="s">
        <v>1193</v>
      </c>
      <c r="C126" s="15" t="s">
        <v>926</v>
      </c>
      <c r="D126" s="15">
        <v>2024</v>
      </c>
      <c r="E126" s="15" t="s">
        <v>1194</v>
      </c>
      <c r="F126" s="15" t="s">
        <v>27</v>
      </c>
      <c r="G126" s="15" t="s">
        <v>50</v>
      </c>
      <c r="H126" s="15" t="s">
        <v>745</v>
      </c>
      <c r="I126" s="15" t="s">
        <v>1195</v>
      </c>
      <c r="J126" s="15" t="s">
        <v>21</v>
      </c>
      <c r="K126" s="15" t="s">
        <v>1196</v>
      </c>
      <c r="L126" s="13" t="s">
        <v>1197</v>
      </c>
      <c r="M126" s="15" t="s">
        <v>29</v>
      </c>
      <c r="N126" s="13" t="s">
        <v>1198</v>
      </c>
      <c r="O126" s="15" t="s">
        <v>23</v>
      </c>
      <c r="P126" s="13" t="s">
        <v>1199</v>
      </c>
      <c r="Q126" s="13" t="s">
        <v>1200</v>
      </c>
      <c r="R126" s="5" t="str">
        <f>HYPERLINK("https://doi.org/10.1016/j.dss.2023.114194","10.1016/j.dss.2023.114194")</f>
        <v>10.1016/j.dss.2023.114194</v>
      </c>
    </row>
    <row r="127" spans="1:18" ht="34.200000000000003" x14ac:dyDescent="0.3">
      <c r="A127" s="27">
        <v>125</v>
      </c>
      <c r="B127" s="20" t="s">
        <v>1201</v>
      </c>
      <c r="C127" s="2" t="s">
        <v>1202</v>
      </c>
      <c r="D127" s="2">
        <v>2020</v>
      </c>
      <c r="E127" s="2" t="s">
        <v>1203</v>
      </c>
      <c r="F127" s="2" t="s">
        <v>1204</v>
      </c>
      <c r="G127" s="2" t="s">
        <v>74</v>
      </c>
      <c r="H127" s="2" t="s">
        <v>106</v>
      </c>
      <c r="I127" s="2" t="s">
        <v>1186</v>
      </c>
      <c r="J127" s="2" t="s">
        <v>21</v>
      </c>
      <c r="K127" s="2" t="s">
        <v>1205</v>
      </c>
      <c r="L127" s="12" t="s">
        <v>1206</v>
      </c>
      <c r="M127" s="2" t="s">
        <v>1189</v>
      </c>
      <c r="N127" s="12" t="s">
        <v>1207</v>
      </c>
      <c r="O127" s="2" t="s">
        <v>23</v>
      </c>
      <c r="P127" s="12" t="s">
        <v>1208</v>
      </c>
      <c r="Q127" s="12" t="s">
        <v>1209</v>
      </c>
      <c r="R127" s="1" t="str">
        <f>HYPERLINK("https://doi.org/10.1145/3375627.3375830","10.1145/3375627.3375830")</f>
        <v>10.1145/3375627.3375830</v>
      </c>
    </row>
    <row r="128" spans="1:18" ht="22.8" x14ac:dyDescent="0.3">
      <c r="A128" s="28">
        <v>126</v>
      </c>
      <c r="B128" s="22" t="s">
        <v>1210</v>
      </c>
      <c r="C128" s="15" t="s">
        <v>1211</v>
      </c>
      <c r="D128" s="15">
        <v>2025</v>
      </c>
      <c r="E128" s="15" t="s">
        <v>1175</v>
      </c>
      <c r="F128" s="15" t="s">
        <v>27</v>
      </c>
      <c r="G128" s="15" t="s">
        <v>74</v>
      </c>
      <c r="H128" s="15" t="s">
        <v>1212</v>
      </c>
      <c r="I128" s="15" t="s">
        <v>1213</v>
      </c>
      <c r="J128" s="15" t="s">
        <v>21</v>
      </c>
      <c r="K128" s="15" t="s">
        <v>1214</v>
      </c>
      <c r="L128" s="13" t="s">
        <v>1215</v>
      </c>
      <c r="M128" s="15" t="s">
        <v>29</v>
      </c>
      <c r="N128" s="13" t="s">
        <v>1216</v>
      </c>
      <c r="O128" s="15" t="s">
        <v>23</v>
      </c>
      <c r="P128" s="13" t="s">
        <v>1217</v>
      </c>
      <c r="Q128" s="13" t="s">
        <v>1218</v>
      </c>
      <c r="R128" s="5" t="str">
        <f>HYPERLINK("https://doi.org/10.3390/s25030854","10.3390/s25030854")</f>
        <v>10.3390/s25030854</v>
      </c>
    </row>
    <row r="129" spans="1:18" ht="22.8" x14ac:dyDescent="0.3">
      <c r="A129" s="27">
        <v>127</v>
      </c>
      <c r="B129" s="20" t="s">
        <v>1219</v>
      </c>
      <c r="C129" s="2" t="s">
        <v>1220</v>
      </c>
      <c r="D129" s="2">
        <v>2020</v>
      </c>
      <c r="E129" s="2" t="s">
        <v>1221</v>
      </c>
      <c r="F129" s="2" t="s">
        <v>27</v>
      </c>
      <c r="G129" s="2" t="s">
        <v>117</v>
      </c>
      <c r="H129" s="2" t="s">
        <v>1222</v>
      </c>
      <c r="I129" s="2" t="s">
        <v>1223</v>
      </c>
      <c r="J129" s="2" t="s">
        <v>35</v>
      </c>
      <c r="K129" s="2" t="s">
        <v>1224</v>
      </c>
      <c r="L129" s="12" t="s">
        <v>1225</v>
      </c>
      <c r="M129" s="2" t="s">
        <v>29</v>
      </c>
      <c r="N129" s="12" t="s">
        <v>1226</v>
      </c>
      <c r="O129" s="2" t="s">
        <v>23</v>
      </c>
      <c r="P129" s="12" t="s">
        <v>1227</v>
      </c>
      <c r="Q129" s="12" t="s">
        <v>1228</v>
      </c>
      <c r="R129" s="1" t="str">
        <f>HYPERLINK("https://doi.org/10.1111/exsy.12611","10.1111/exsy.12611")</f>
        <v>10.1111/exsy.12611</v>
      </c>
    </row>
    <row r="130" spans="1:18" ht="22.8" x14ac:dyDescent="0.3">
      <c r="A130" s="28">
        <v>128</v>
      </c>
      <c r="B130" s="22" t="s">
        <v>1229</v>
      </c>
      <c r="C130" s="15" t="s">
        <v>1230</v>
      </c>
      <c r="D130" s="15">
        <v>2024</v>
      </c>
      <c r="E130" s="15" t="s">
        <v>7</v>
      </c>
      <c r="F130" s="15" t="s">
        <v>25</v>
      </c>
      <c r="G130" s="15" t="s">
        <v>50</v>
      </c>
      <c r="H130" s="15" t="s">
        <v>745</v>
      </c>
      <c r="I130" s="15" t="s">
        <v>1231</v>
      </c>
      <c r="J130" s="15" t="s">
        <v>179</v>
      </c>
      <c r="K130" s="15" t="s">
        <v>1232</v>
      </c>
      <c r="L130" s="13" t="s">
        <v>1233</v>
      </c>
      <c r="M130" s="15" t="s">
        <v>22</v>
      </c>
      <c r="N130" s="13" t="s">
        <v>1234</v>
      </c>
      <c r="O130" s="15" t="s">
        <v>23</v>
      </c>
      <c r="P130" s="13" t="s">
        <v>1235</v>
      </c>
      <c r="Q130" s="13" t="s">
        <v>1236</v>
      </c>
      <c r="R130" s="5" t="str">
        <f>HYPERLINK("https://doi.org/10.1007/s10462-024-10854-8","10.1007/s10462-024-10854-8")</f>
        <v>10.1007/s10462-024-10854-8</v>
      </c>
    </row>
    <row r="131" spans="1:18" ht="24" x14ac:dyDescent="0.3">
      <c r="A131" s="27">
        <v>129</v>
      </c>
      <c r="B131" s="20" t="s">
        <v>1237</v>
      </c>
      <c r="C131" s="2" t="s">
        <v>1238</v>
      </c>
      <c r="D131" s="2">
        <v>2025</v>
      </c>
      <c r="E131" s="2" t="s">
        <v>728</v>
      </c>
      <c r="F131" s="2" t="s">
        <v>25</v>
      </c>
      <c r="G131" s="2" t="s">
        <v>50</v>
      </c>
      <c r="H131" s="2" t="s">
        <v>1239</v>
      </c>
      <c r="I131" s="2" t="s">
        <v>1240</v>
      </c>
      <c r="J131" s="2" t="s">
        <v>35</v>
      </c>
      <c r="K131" s="2" t="s">
        <v>1241</v>
      </c>
      <c r="L131" s="12" t="s">
        <v>1242</v>
      </c>
      <c r="M131" s="2" t="s">
        <v>29</v>
      </c>
      <c r="N131" s="12" t="s">
        <v>1243</v>
      </c>
      <c r="O131" s="2" t="s">
        <v>23</v>
      </c>
      <c r="P131" s="12" t="s">
        <v>1244</v>
      </c>
      <c r="Q131" s="12" t="s">
        <v>1245</v>
      </c>
      <c r="R131" s="1" t="s">
        <v>1842</v>
      </c>
    </row>
    <row r="132" spans="1:18" ht="34.200000000000003" x14ac:dyDescent="0.3">
      <c r="A132" s="28">
        <v>130</v>
      </c>
      <c r="B132" s="22" t="s">
        <v>1246</v>
      </c>
      <c r="C132" s="15" t="s">
        <v>1247</v>
      </c>
      <c r="D132" s="15">
        <v>2025</v>
      </c>
      <c r="E132" s="15" t="s">
        <v>1248</v>
      </c>
      <c r="F132" s="15" t="s">
        <v>25</v>
      </c>
      <c r="G132" s="15" t="s">
        <v>74</v>
      </c>
      <c r="H132" s="15" t="s">
        <v>1249</v>
      </c>
      <c r="I132" s="15" t="s">
        <v>1250</v>
      </c>
      <c r="J132" s="15" t="s">
        <v>1149</v>
      </c>
      <c r="K132" s="15" t="s">
        <v>1251</v>
      </c>
      <c r="L132" s="13" t="s">
        <v>1252</v>
      </c>
      <c r="M132" s="15" t="s">
        <v>29</v>
      </c>
      <c r="N132" s="13" t="s">
        <v>1253</v>
      </c>
      <c r="O132" s="15" t="s">
        <v>23</v>
      </c>
      <c r="P132" s="13" t="s">
        <v>1254</v>
      </c>
      <c r="Q132" s="13" t="s">
        <v>1255</v>
      </c>
      <c r="R132" s="5" t="s">
        <v>1843</v>
      </c>
    </row>
    <row r="133" spans="1:18" ht="22.8" x14ac:dyDescent="0.3">
      <c r="A133" s="27">
        <v>131</v>
      </c>
      <c r="B133" s="20" t="s">
        <v>1256</v>
      </c>
      <c r="C133" s="2" t="s">
        <v>1257</v>
      </c>
      <c r="D133" s="2">
        <v>2024</v>
      </c>
      <c r="E133" s="2" t="s">
        <v>1258</v>
      </c>
      <c r="F133" s="2" t="s">
        <v>25</v>
      </c>
      <c r="G133" s="2" t="s">
        <v>50</v>
      </c>
      <c r="H133" s="2" t="s">
        <v>745</v>
      </c>
      <c r="I133" s="2" t="s">
        <v>1259</v>
      </c>
      <c r="J133" s="2" t="s">
        <v>179</v>
      </c>
      <c r="K133" s="2" t="s">
        <v>1260</v>
      </c>
      <c r="L133" s="12" t="s">
        <v>1261</v>
      </c>
      <c r="M133" s="2" t="s">
        <v>22</v>
      </c>
      <c r="N133" s="12" t="s">
        <v>1262</v>
      </c>
      <c r="O133" s="2" t="s">
        <v>30</v>
      </c>
      <c r="P133" s="12" t="s">
        <v>1263</v>
      </c>
      <c r="Q133" s="12" t="s">
        <v>1264</v>
      </c>
      <c r="R133" s="1" t="str">
        <f>HYPERLINK("https://doi.org/10.3390/electronics13142842","10.3390/electronics13142842")</f>
        <v>10.3390/electronics13142842</v>
      </c>
    </row>
    <row r="134" spans="1:18" ht="22.8" x14ac:dyDescent="0.3">
      <c r="A134" s="28">
        <v>132</v>
      </c>
      <c r="B134" s="22" t="s">
        <v>1265</v>
      </c>
      <c r="C134" s="15" t="s">
        <v>1266</v>
      </c>
      <c r="D134" s="15">
        <v>2024</v>
      </c>
      <c r="E134" s="15" t="s">
        <v>1267</v>
      </c>
      <c r="F134" s="15" t="s">
        <v>25</v>
      </c>
      <c r="G134" s="15" t="s">
        <v>50</v>
      </c>
      <c r="H134" s="15" t="s">
        <v>745</v>
      </c>
      <c r="I134" s="15" t="s">
        <v>228</v>
      </c>
      <c r="J134" s="15" t="s">
        <v>179</v>
      </c>
      <c r="K134" s="15" t="s">
        <v>1268</v>
      </c>
      <c r="L134" s="13" t="s">
        <v>1269</v>
      </c>
      <c r="M134" s="15" t="s">
        <v>22</v>
      </c>
      <c r="N134" s="13" t="s">
        <v>1270</v>
      </c>
      <c r="O134" s="15" t="s">
        <v>23</v>
      </c>
      <c r="P134" s="13" t="s">
        <v>1271</v>
      </c>
      <c r="Q134" s="13" t="s">
        <v>1264</v>
      </c>
      <c r="R134" s="5" t="str">
        <f>HYPERLINK("https://doi.org/10.3390/bdcc8110149","10.3390/bdcc8110149")</f>
        <v>10.3390/bdcc8110149</v>
      </c>
    </row>
    <row r="135" spans="1:18" ht="22.8" x14ac:dyDescent="0.3">
      <c r="A135" s="27">
        <v>133</v>
      </c>
      <c r="B135" s="20" t="s">
        <v>1272</v>
      </c>
      <c r="C135" s="2" t="s">
        <v>207</v>
      </c>
      <c r="D135" s="2">
        <v>2019</v>
      </c>
      <c r="E135" s="2" t="s">
        <v>1273</v>
      </c>
      <c r="F135" s="2" t="s">
        <v>25</v>
      </c>
      <c r="G135" s="2" t="s">
        <v>117</v>
      </c>
      <c r="H135" s="2" t="s">
        <v>1274</v>
      </c>
      <c r="I135" s="2" t="s">
        <v>1275</v>
      </c>
      <c r="J135" s="2" t="s">
        <v>35</v>
      </c>
      <c r="K135" s="2" t="s">
        <v>1276</v>
      </c>
      <c r="L135" s="12" t="s">
        <v>1277</v>
      </c>
      <c r="M135" s="2" t="s">
        <v>29</v>
      </c>
      <c r="N135" s="12" t="s">
        <v>1278</v>
      </c>
      <c r="O135" s="2" t="s">
        <v>23</v>
      </c>
      <c r="P135" s="12" t="s">
        <v>1279</v>
      </c>
      <c r="Q135" s="12" t="s">
        <v>1280</v>
      </c>
      <c r="R135" s="1" t="str">
        <f>HYPERLINK("https://doi.org/10.7717/peerj-cs.216","10.7717/peerj-cs.216")</f>
        <v>10.7717/peerj-cs.216</v>
      </c>
    </row>
    <row r="136" spans="1:18" ht="24" x14ac:dyDescent="0.3">
      <c r="A136" s="28">
        <v>134</v>
      </c>
      <c r="B136" s="22" t="s">
        <v>1281</v>
      </c>
      <c r="C136" s="15" t="s">
        <v>1282</v>
      </c>
      <c r="D136" s="15">
        <v>2025</v>
      </c>
      <c r="E136" s="15" t="s">
        <v>1283</v>
      </c>
      <c r="F136" s="15" t="s">
        <v>25</v>
      </c>
      <c r="G136" s="15" t="s">
        <v>74</v>
      </c>
      <c r="H136" s="15" t="s">
        <v>1284</v>
      </c>
      <c r="I136" s="15" t="s">
        <v>1285</v>
      </c>
      <c r="J136" s="15" t="s">
        <v>21</v>
      </c>
      <c r="K136" s="15" t="s">
        <v>1286</v>
      </c>
      <c r="L136" s="13" t="s">
        <v>1287</v>
      </c>
      <c r="M136" s="15" t="s">
        <v>22</v>
      </c>
      <c r="N136" s="13" t="s">
        <v>1288</v>
      </c>
      <c r="O136" s="15" t="s">
        <v>30</v>
      </c>
      <c r="P136" s="13" t="s">
        <v>1289</v>
      </c>
      <c r="Q136" s="13" t="s">
        <v>1290</v>
      </c>
      <c r="R136" s="5" t="s">
        <v>1801</v>
      </c>
    </row>
    <row r="137" spans="1:18" ht="24" x14ac:dyDescent="0.3">
      <c r="A137" s="27">
        <v>135</v>
      </c>
      <c r="B137" s="20" t="s">
        <v>1291</v>
      </c>
      <c r="C137" s="2" t="s">
        <v>1292</v>
      </c>
      <c r="D137" s="2">
        <v>2025</v>
      </c>
      <c r="E137" s="2" t="s">
        <v>1293</v>
      </c>
      <c r="F137" s="2" t="s">
        <v>25</v>
      </c>
      <c r="G137" s="2" t="s">
        <v>74</v>
      </c>
      <c r="H137" s="2" t="s">
        <v>1294</v>
      </c>
      <c r="I137" s="2" t="s">
        <v>1295</v>
      </c>
      <c r="J137" s="2" t="s">
        <v>35</v>
      </c>
      <c r="K137" s="2" t="s">
        <v>1296</v>
      </c>
      <c r="L137" s="12" t="s">
        <v>1297</v>
      </c>
      <c r="M137" s="2" t="s">
        <v>29</v>
      </c>
      <c r="N137" s="12" t="s">
        <v>1298</v>
      </c>
      <c r="O137" s="2" t="s">
        <v>23</v>
      </c>
      <c r="P137" s="12" t="s">
        <v>1299</v>
      </c>
      <c r="Q137" s="12" t="s">
        <v>1245</v>
      </c>
      <c r="R137" s="1" t="s">
        <v>1844</v>
      </c>
    </row>
    <row r="138" spans="1:18" ht="34.200000000000003" x14ac:dyDescent="0.3">
      <c r="A138" s="28">
        <v>136</v>
      </c>
      <c r="B138" s="22" t="s">
        <v>1300</v>
      </c>
      <c r="C138" s="15" t="s">
        <v>1301</v>
      </c>
      <c r="D138" s="15">
        <v>2020</v>
      </c>
      <c r="E138" s="15" t="s">
        <v>157</v>
      </c>
      <c r="F138" s="15" t="s">
        <v>32</v>
      </c>
      <c r="G138" s="15" t="s">
        <v>50</v>
      </c>
      <c r="H138" s="15" t="s">
        <v>1302</v>
      </c>
      <c r="I138" s="15" t="s">
        <v>1303</v>
      </c>
      <c r="J138" s="15" t="s">
        <v>21</v>
      </c>
      <c r="K138" s="15" t="s">
        <v>1304</v>
      </c>
      <c r="L138" s="13" t="s">
        <v>1305</v>
      </c>
      <c r="M138" s="15" t="s">
        <v>26</v>
      </c>
      <c r="N138" s="13" t="s">
        <v>1306</v>
      </c>
      <c r="O138" s="15" t="s">
        <v>30</v>
      </c>
      <c r="P138" s="13" t="s">
        <v>1307</v>
      </c>
      <c r="Q138" s="13" t="s">
        <v>1308</v>
      </c>
      <c r="R138" s="5" t="str">
        <f>HYPERLINK("https://doi.org/10.48550/arXiv.2005.05940","10.48550/arXiv.2005.05940")</f>
        <v>10.48550/arXiv.2005.05940</v>
      </c>
    </row>
    <row r="139" spans="1:18" ht="34.200000000000003" x14ac:dyDescent="0.3">
      <c r="A139" s="27">
        <v>137</v>
      </c>
      <c r="B139" s="20" t="s">
        <v>1309</v>
      </c>
      <c r="C139" s="2" t="s">
        <v>1310</v>
      </c>
      <c r="D139" s="2">
        <v>2022</v>
      </c>
      <c r="E139" s="2" t="s">
        <v>1311</v>
      </c>
      <c r="F139" s="2" t="s">
        <v>415</v>
      </c>
      <c r="G139" s="2" t="s">
        <v>50</v>
      </c>
      <c r="H139" s="2" t="s">
        <v>1312</v>
      </c>
      <c r="I139" s="2" t="s">
        <v>1313</v>
      </c>
      <c r="J139" s="2" t="s">
        <v>21</v>
      </c>
      <c r="K139" s="2" t="s">
        <v>249</v>
      </c>
      <c r="L139" s="12" t="s">
        <v>1314</v>
      </c>
      <c r="M139" s="2" t="s">
        <v>26</v>
      </c>
      <c r="N139" s="12" t="s">
        <v>1315</v>
      </c>
      <c r="O139" s="2" t="s">
        <v>23</v>
      </c>
      <c r="P139" s="12" t="s">
        <v>1316</v>
      </c>
      <c r="Q139" s="12" t="s">
        <v>1317</v>
      </c>
      <c r="R139" s="1" t="str">
        <f>HYPERLINK("https://doi.org/10.1145/3531146.3533182","10.1145/3531146.3533182")</f>
        <v>10.1145/3531146.3533182</v>
      </c>
    </row>
    <row r="140" spans="1:18" ht="22.8" x14ac:dyDescent="0.3">
      <c r="A140" s="28">
        <v>138</v>
      </c>
      <c r="B140" s="22" t="s">
        <v>1318</v>
      </c>
      <c r="C140" s="15" t="s">
        <v>1319</v>
      </c>
      <c r="D140" s="15">
        <v>2021</v>
      </c>
      <c r="E140" s="15" t="s">
        <v>1320</v>
      </c>
      <c r="F140" s="15" t="s">
        <v>32</v>
      </c>
      <c r="G140" s="15" t="s">
        <v>50</v>
      </c>
      <c r="H140" s="15" t="s">
        <v>1302</v>
      </c>
      <c r="I140" s="15" t="s">
        <v>1321</v>
      </c>
      <c r="J140" s="15" t="s">
        <v>179</v>
      </c>
      <c r="K140" s="15" t="s">
        <v>1322</v>
      </c>
      <c r="L140" s="13" t="s">
        <v>1323</v>
      </c>
      <c r="M140" s="15" t="s">
        <v>26</v>
      </c>
      <c r="N140" s="13" t="s">
        <v>1324</v>
      </c>
      <c r="O140" s="15" t="s">
        <v>23</v>
      </c>
      <c r="P140" s="13" t="s">
        <v>1325</v>
      </c>
      <c r="Q140" s="13" t="s">
        <v>1326</v>
      </c>
      <c r="R140" s="5" t="str">
        <f>HYPERLINK("https://doi.org/10.1145/3461597","10.1145/3461597")</f>
        <v>10.1145/3461597</v>
      </c>
    </row>
    <row r="141" spans="1:18" ht="34.200000000000003" x14ac:dyDescent="0.3">
      <c r="A141" s="27">
        <v>139</v>
      </c>
      <c r="B141" s="20" t="s">
        <v>1327</v>
      </c>
      <c r="C141" s="2" t="s">
        <v>1328</v>
      </c>
      <c r="D141" s="2">
        <v>2013</v>
      </c>
      <c r="E141" s="2" t="s">
        <v>1329</v>
      </c>
      <c r="F141" s="2" t="s">
        <v>32</v>
      </c>
      <c r="G141" s="2" t="s">
        <v>416</v>
      </c>
      <c r="H141" s="2" t="s">
        <v>1330</v>
      </c>
      <c r="I141" s="2" t="s">
        <v>1331</v>
      </c>
      <c r="J141" s="2" t="s">
        <v>33</v>
      </c>
      <c r="K141" s="2" t="s">
        <v>1332</v>
      </c>
      <c r="L141" s="12" t="s">
        <v>1333</v>
      </c>
      <c r="M141" s="2" t="s">
        <v>29</v>
      </c>
      <c r="N141" s="12" t="s">
        <v>1334</v>
      </c>
      <c r="O141" s="2" t="s">
        <v>23</v>
      </c>
      <c r="P141" s="12" t="s">
        <v>1335</v>
      </c>
      <c r="Q141" s="12" t="s">
        <v>1336</v>
      </c>
      <c r="R141" s="1" t="str">
        <f>HYPERLINK("https://doi.org/10.1177/0278364913495721","10.1177/0278364913495721")</f>
        <v>10.1177/0278364913495721</v>
      </c>
    </row>
    <row r="142" spans="1:18" ht="22.8" x14ac:dyDescent="0.3">
      <c r="A142" s="28">
        <v>140</v>
      </c>
      <c r="B142" s="22" t="s">
        <v>1337</v>
      </c>
      <c r="C142" s="15" t="s">
        <v>520</v>
      </c>
      <c r="D142" s="15">
        <v>2018</v>
      </c>
      <c r="E142" s="15" t="s">
        <v>1338</v>
      </c>
      <c r="F142" s="15" t="s">
        <v>32</v>
      </c>
      <c r="G142" s="15" t="s">
        <v>416</v>
      </c>
      <c r="H142" s="15" t="s">
        <v>1339</v>
      </c>
      <c r="I142" s="15" t="s">
        <v>1340</v>
      </c>
      <c r="J142" s="15" t="s">
        <v>35</v>
      </c>
      <c r="K142" s="15" t="s">
        <v>1341</v>
      </c>
      <c r="L142" s="13" t="s">
        <v>1342</v>
      </c>
      <c r="M142" s="15" t="s">
        <v>26</v>
      </c>
      <c r="N142" s="13" t="s">
        <v>1343</v>
      </c>
      <c r="O142" s="15" t="s">
        <v>23</v>
      </c>
      <c r="P142" s="13" t="s">
        <v>1344</v>
      </c>
      <c r="Q142" s="13" t="s">
        <v>1345</v>
      </c>
      <c r="R142" s="5" t="str">
        <f>HYPERLINK("https://doi.org/10.1109/IROS.2018.8594183","10.1109/IROS.2018.8594183")</f>
        <v>10.1109/IROS.2018.8594183</v>
      </c>
    </row>
    <row r="143" spans="1:18" ht="24" x14ac:dyDescent="0.3">
      <c r="A143" s="27">
        <v>141</v>
      </c>
      <c r="B143" s="20" t="s">
        <v>1346</v>
      </c>
      <c r="C143" s="2" t="s">
        <v>1347</v>
      </c>
      <c r="D143" s="2">
        <v>2025</v>
      </c>
      <c r="E143" s="2" t="s">
        <v>1049</v>
      </c>
      <c r="F143" s="2" t="s">
        <v>32</v>
      </c>
      <c r="G143" s="2" t="s">
        <v>158</v>
      </c>
      <c r="H143" s="2" t="s">
        <v>1348</v>
      </c>
      <c r="I143" s="2" t="s">
        <v>1349</v>
      </c>
      <c r="J143" s="2" t="s">
        <v>33</v>
      </c>
      <c r="K143" s="2" t="s">
        <v>1350</v>
      </c>
      <c r="L143" s="12" t="s">
        <v>1351</v>
      </c>
      <c r="M143" s="2" t="s">
        <v>22</v>
      </c>
      <c r="N143" s="12" t="s">
        <v>1352</v>
      </c>
      <c r="O143" s="2" t="s">
        <v>23</v>
      </c>
      <c r="P143" s="12" t="s">
        <v>1353</v>
      </c>
      <c r="Q143" s="12" t="s">
        <v>1354</v>
      </c>
      <c r="R143" s="1" t="s">
        <v>1835</v>
      </c>
    </row>
    <row r="144" spans="1:18" ht="22.8" x14ac:dyDescent="0.3">
      <c r="A144" s="28">
        <v>142</v>
      </c>
      <c r="B144" s="22" t="s">
        <v>1355</v>
      </c>
      <c r="C144" s="15" t="s">
        <v>1356</v>
      </c>
      <c r="D144" s="15">
        <v>2018</v>
      </c>
      <c r="E144" s="15" t="s">
        <v>31</v>
      </c>
      <c r="F144" s="15" t="s">
        <v>32</v>
      </c>
      <c r="G144" s="15" t="s">
        <v>117</v>
      </c>
      <c r="H144" s="15" t="s">
        <v>1357</v>
      </c>
      <c r="I144" s="15" t="s">
        <v>1358</v>
      </c>
      <c r="J144" s="15" t="s">
        <v>35</v>
      </c>
      <c r="K144" s="15" t="s">
        <v>1359</v>
      </c>
      <c r="L144" s="13" t="s">
        <v>1360</v>
      </c>
      <c r="M144" s="15" t="s">
        <v>29</v>
      </c>
      <c r="N144" s="13" t="s">
        <v>1361</v>
      </c>
      <c r="O144" s="15" t="s">
        <v>23</v>
      </c>
      <c r="P144" s="13" t="s">
        <v>1362</v>
      </c>
      <c r="Q144" s="13" t="s">
        <v>1363</v>
      </c>
      <c r="R144" s="5" t="str">
        <f>HYPERLINK("https://doi.org/10.1109/LRA.2018.2795643","10.1109/LRA.2018.2795643")</f>
        <v>10.1109/LRA.2018.2795643</v>
      </c>
    </row>
    <row r="145" spans="1:18" ht="34.200000000000003" x14ac:dyDescent="0.3">
      <c r="A145" s="27">
        <v>143</v>
      </c>
      <c r="B145" s="20" t="s">
        <v>1364</v>
      </c>
      <c r="C145" s="2" t="s">
        <v>1365</v>
      </c>
      <c r="D145" s="2">
        <v>2017</v>
      </c>
      <c r="E145" s="2" t="s">
        <v>1366</v>
      </c>
      <c r="F145" s="2" t="s">
        <v>32</v>
      </c>
      <c r="G145" s="2" t="s">
        <v>74</v>
      </c>
      <c r="H145" s="2" t="s">
        <v>311</v>
      </c>
      <c r="I145" s="2" t="s">
        <v>1367</v>
      </c>
      <c r="J145" s="2" t="s">
        <v>33</v>
      </c>
      <c r="K145" s="2" t="s">
        <v>1368</v>
      </c>
      <c r="L145" s="12" t="s">
        <v>1369</v>
      </c>
      <c r="M145" s="2" t="s">
        <v>29</v>
      </c>
      <c r="N145" s="12" t="s">
        <v>1370</v>
      </c>
      <c r="O145" s="2" t="s">
        <v>23</v>
      </c>
      <c r="P145" s="12" t="s">
        <v>1371</v>
      </c>
      <c r="Q145" s="12" t="s">
        <v>1372</v>
      </c>
      <c r="R145" s="1" t="str">
        <f>HYPERLINK("https://doi.org/10.1109/TITS.2016.2607498","10.1109/TITS.2016.2607498")</f>
        <v>10.1109/TITS.2016.2607498</v>
      </c>
    </row>
    <row r="146" spans="1:18" ht="22.8" x14ac:dyDescent="0.3">
      <c r="A146" s="28">
        <v>144</v>
      </c>
      <c r="B146" s="22" t="s">
        <v>1373</v>
      </c>
      <c r="C146" s="15" t="s">
        <v>1374</v>
      </c>
      <c r="D146" s="15">
        <v>2018</v>
      </c>
      <c r="E146" s="15" t="s">
        <v>807</v>
      </c>
      <c r="F146" s="15" t="s">
        <v>415</v>
      </c>
      <c r="G146" s="15" t="s">
        <v>117</v>
      </c>
      <c r="H146" s="15" t="s">
        <v>1375</v>
      </c>
      <c r="I146" s="15" t="s">
        <v>1376</v>
      </c>
      <c r="J146" s="15" t="s">
        <v>35</v>
      </c>
      <c r="K146" s="15" t="s">
        <v>1377</v>
      </c>
      <c r="L146" s="13" t="s">
        <v>1378</v>
      </c>
      <c r="M146" s="15" t="s">
        <v>78</v>
      </c>
      <c r="N146" s="13" t="s">
        <v>1379</v>
      </c>
      <c r="O146" s="15" t="s">
        <v>23</v>
      </c>
      <c r="P146" s="13" t="s">
        <v>1380</v>
      </c>
      <c r="Q146" s="13" t="s">
        <v>1381</v>
      </c>
      <c r="R146" s="5" t="str">
        <f>HYPERLINK("https://doi.org/10.1609/aaai.v32i1.11736","10.1609/aaai.v32i1.11736")</f>
        <v>10.1609/aaai.v32i1.11736</v>
      </c>
    </row>
    <row r="147" spans="1:18" ht="22.8" x14ac:dyDescent="0.3">
      <c r="A147" s="27">
        <v>145</v>
      </c>
      <c r="B147" s="20" t="s">
        <v>1382</v>
      </c>
      <c r="C147" s="2" t="s">
        <v>989</v>
      </c>
      <c r="D147" s="2">
        <v>2017</v>
      </c>
      <c r="E147" s="2" t="s">
        <v>157</v>
      </c>
      <c r="F147" s="2" t="s">
        <v>32</v>
      </c>
      <c r="G147" s="2" t="s">
        <v>117</v>
      </c>
      <c r="H147" s="2" t="s">
        <v>1383</v>
      </c>
      <c r="I147" s="2" t="s">
        <v>1384</v>
      </c>
      <c r="J147" s="2" t="s">
        <v>35</v>
      </c>
      <c r="K147" s="2" t="s">
        <v>1385</v>
      </c>
      <c r="L147" s="12" t="s">
        <v>1386</v>
      </c>
      <c r="M147" s="2" t="s">
        <v>132</v>
      </c>
      <c r="N147" s="12" t="s">
        <v>1387</v>
      </c>
      <c r="O147" s="2" t="s">
        <v>30</v>
      </c>
      <c r="P147" s="12" t="s">
        <v>1388</v>
      </c>
      <c r="Q147" s="12" t="s">
        <v>1389</v>
      </c>
      <c r="R147" s="1" t="str">
        <f>HYPERLINK("https://doi.org/10.48550/arXiv.1701.01814","10.48550/arXiv.1701.01814")</f>
        <v>10.48550/arXiv.1701.01814</v>
      </c>
    </row>
    <row r="148" spans="1:18" ht="22.8" x14ac:dyDescent="0.3">
      <c r="A148" s="28">
        <v>146</v>
      </c>
      <c r="B148" s="22" t="s">
        <v>1390</v>
      </c>
      <c r="C148" s="15" t="s">
        <v>1391</v>
      </c>
      <c r="D148" s="15">
        <v>2022</v>
      </c>
      <c r="E148" s="15" t="s">
        <v>157</v>
      </c>
      <c r="F148" s="15" t="s">
        <v>32</v>
      </c>
      <c r="G148" s="15" t="s">
        <v>567</v>
      </c>
      <c r="H148" s="15" t="s">
        <v>1392</v>
      </c>
      <c r="I148" s="15" t="s">
        <v>1393</v>
      </c>
      <c r="J148" s="15" t="s">
        <v>21</v>
      </c>
      <c r="K148" s="15" t="s">
        <v>1394</v>
      </c>
      <c r="L148" s="13" t="s">
        <v>1395</v>
      </c>
      <c r="M148" s="15" t="s">
        <v>29</v>
      </c>
      <c r="N148" s="13" t="s">
        <v>1396</v>
      </c>
      <c r="O148" s="15" t="s">
        <v>30</v>
      </c>
      <c r="P148" s="13" t="s">
        <v>1397</v>
      </c>
      <c r="Q148" s="13" t="s">
        <v>1398</v>
      </c>
      <c r="R148" s="5" t="str">
        <f>HYPERLINK("https://doi.org/10.48550/arXiv.2211.06552","10.48550/arXiv.2211.06552")</f>
        <v>10.48550/arXiv.2211.06552</v>
      </c>
    </row>
    <row r="149" spans="1:18" ht="24" x14ac:dyDescent="0.3">
      <c r="A149" s="27">
        <v>147</v>
      </c>
      <c r="B149" s="20" t="s">
        <v>1399</v>
      </c>
      <c r="C149" s="2" t="s">
        <v>1400</v>
      </c>
      <c r="D149" s="2">
        <v>2024</v>
      </c>
      <c r="E149" s="2" t="s">
        <v>1401</v>
      </c>
      <c r="F149" s="2" t="s">
        <v>32</v>
      </c>
      <c r="G149" s="2" t="s">
        <v>567</v>
      </c>
      <c r="H149" s="2" t="s">
        <v>1402</v>
      </c>
      <c r="I149" s="2" t="s">
        <v>1403</v>
      </c>
      <c r="J149" s="2" t="s">
        <v>35</v>
      </c>
      <c r="K149" s="2" t="s">
        <v>1404</v>
      </c>
      <c r="L149" s="12" t="s">
        <v>1405</v>
      </c>
      <c r="M149" s="2" t="s">
        <v>29</v>
      </c>
      <c r="N149" s="12" t="s">
        <v>1406</v>
      </c>
      <c r="O149" s="2" t="s">
        <v>30</v>
      </c>
      <c r="P149" s="12" t="s">
        <v>1407</v>
      </c>
      <c r="Q149" s="12" t="s">
        <v>1408</v>
      </c>
      <c r="R149" s="1" t="s">
        <v>1802</v>
      </c>
    </row>
    <row r="150" spans="1:18" ht="22.8" x14ac:dyDescent="0.3">
      <c r="A150" s="28">
        <v>148</v>
      </c>
      <c r="B150" s="22" t="s">
        <v>1409</v>
      </c>
      <c r="C150" s="15" t="s">
        <v>1410</v>
      </c>
      <c r="D150" s="15">
        <v>2020</v>
      </c>
      <c r="E150" s="15" t="s">
        <v>1411</v>
      </c>
      <c r="F150" s="15" t="s">
        <v>32</v>
      </c>
      <c r="G150" s="15" t="s">
        <v>50</v>
      </c>
      <c r="H150" s="15" t="s">
        <v>1302</v>
      </c>
      <c r="I150" s="15" t="s">
        <v>1412</v>
      </c>
      <c r="J150" s="15" t="s">
        <v>21</v>
      </c>
      <c r="K150" s="15" t="s">
        <v>1413</v>
      </c>
      <c r="L150" s="13" t="s">
        <v>1414</v>
      </c>
      <c r="M150" s="15" t="s">
        <v>26</v>
      </c>
      <c r="N150" s="13" t="s">
        <v>1415</v>
      </c>
      <c r="O150" s="15" t="s">
        <v>23</v>
      </c>
      <c r="P150" s="13" t="s">
        <v>1416</v>
      </c>
      <c r="Q150" s="13" t="s">
        <v>1417</v>
      </c>
      <c r="R150" s="5" t="str">
        <f>HYPERLINK("https://doi.org/10.1515/pjbr-2020-0019","10.1515/pjbr-2020-0019")</f>
        <v>10.1515/pjbr-2020-0019</v>
      </c>
    </row>
    <row r="151" spans="1:18" ht="22.8" x14ac:dyDescent="0.3">
      <c r="A151" s="27">
        <v>149</v>
      </c>
      <c r="B151" s="20" t="s">
        <v>1418</v>
      </c>
      <c r="C151" s="2" t="s">
        <v>1419</v>
      </c>
      <c r="D151" s="2">
        <v>2024</v>
      </c>
      <c r="E151" s="2" t="s">
        <v>6</v>
      </c>
      <c r="F151" s="2" t="s">
        <v>32</v>
      </c>
      <c r="G151" s="2" t="s">
        <v>50</v>
      </c>
      <c r="H151" s="2" t="s">
        <v>1420</v>
      </c>
      <c r="I151" s="2" t="s">
        <v>1421</v>
      </c>
      <c r="J151" s="2" t="s">
        <v>200</v>
      </c>
      <c r="K151" s="2" t="s">
        <v>1422</v>
      </c>
      <c r="L151" s="12" t="s">
        <v>1423</v>
      </c>
      <c r="M151" s="2" t="s">
        <v>22</v>
      </c>
      <c r="N151" s="12" t="s">
        <v>1424</v>
      </c>
      <c r="O151" s="2" t="s">
        <v>23</v>
      </c>
      <c r="P151" s="12" t="s">
        <v>1425</v>
      </c>
      <c r="Q151" s="12" t="s">
        <v>1426</v>
      </c>
      <c r="R151" s="1" t="str">
        <f>HYPERLINK("https://doi.org/10.1109/ACCESS.2024.3370735","10.1109/ACCESS.2024.3370735")</f>
        <v>10.1109/ACCESS.2024.3370735</v>
      </c>
    </row>
    <row r="152" spans="1:18" ht="22.8" x14ac:dyDescent="0.3">
      <c r="A152" s="28">
        <v>150</v>
      </c>
      <c r="B152" s="22" t="s">
        <v>1427</v>
      </c>
      <c r="C152" s="15" t="s">
        <v>1428</v>
      </c>
      <c r="D152" s="15">
        <v>1995</v>
      </c>
      <c r="E152" s="15" t="s">
        <v>1429</v>
      </c>
      <c r="F152" s="15" t="s">
        <v>415</v>
      </c>
      <c r="G152" s="15" t="s">
        <v>117</v>
      </c>
      <c r="H152" s="15" t="s">
        <v>1430</v>
      </c>
      <c r="I152" s="15" t="s">
        <v>1431</v>
      </c>
      <c r="J152" s="15" t="s">
        <v>33</v>
      </c>
      <c r="K152" s="15" t="s">
        <v>1432</v>
      </c>
      <c r="L152" s="13" t="s">
        <v>1433</v>
      </c>
      <c r="M152" s="15" t="s">
        <v>99</v>
      </c>
      <c r="N152" s="13" t="s">
        <v>1434</v>
      </c>
      <c r="O152" s="15" t="s">
        <v>23</v>
      </c>
      <c r="P152" s="13" t="s">
        <v>1435</v>
      </c>
      <c r="Q152" s="13" t="s">
        <v>1436</v>
      </c>
      <c r="R152" s="5" t="str">
        <f>HYPERLINK("https://doi.org/10.1016/0950-7051(95)98602-W","10.1016/0950-7051(95)98602-W")</f>
        <v>10.1016/0950-7051(95)98602-W</v>
      </c>
    </row>
    <row r="153" spans="1:18" ht="34.200000000000003" x14ac:dyDescent="0.3">
      <c r="A153" s="27">
        <v>151</v>
      </c>
      <c r="B153" s="20" t="s">
        <v>1437</v>
      </c>
      <c r="C153" s="2" t="s">
        <v>1438</v>
      </c>
      <c r="D153" s="2">
        <v>2023</v>
      </c>
      <c r="E153" s="2" t="s">
        <v>1439</v>
      </c>
      <c r="F153" s="2" t="s">
        <v>32</v>
      </c>
      <c r="G153" s="2" t="s">
        <v>416</v>
      </c>
      <c r="H153" s="2" t="s">
        <v>1440</v>
      </c>
      <c r="I153" s="2" t="s">
        <v>1441</v>
      </c>
      <c r="J153" s="2" t="s">
        <v>1442</v>
      </c>
      <c r="K153" s="2" t="s">
        <v>1443</v>
      </c>
      <c r="L153" s="12" t="s">
        <v>1444</v>
      </c>
      <c r="M153" s="2" t="s">
        <v>22</v>
      </c>
      <c r="N153" s="12" t="s">
        <v>1445</v>
      </c>
      <c r="O153" s="2" t="s">
        <v>23</v>
      </c>
      <c r="P153" s="12" t="s">
        <v>1446</v>
      </c>
      <c r="Q153" s="12" t="s">
        <v>1447</v>
      </c>
      <c r="R153" s="1" t="str">
        <f>HYPERLINK("https://doi.org/10.1007/s00521-022-07064-2","10.1007/s00521-022-07064-2")</f>
        <v>10.1007/s00521-022-07064-2</v>
      </c>
    </row>
    <row r="154" spans="1:18" ht="24" x14ac:dyDescent="0.3">
      <c r="A154" s="28">
        <v>152</v>
      </c>
      <c r="B154" s="22" t="s">
        <v>1448</v>
      </c>
      <c r="C154" s="15" t="s">
        <v>1449</v>
      </c>
      <c r="D154" s="15">
        <v>2025</v>
      </c>
      <c r="E154" s="15" t="s">
        <v>1450</v>
      </c>
      <c r="F154" s="15" t="s">
        <v>32</v>
      </c>
      <c r="G154" s="15" t="s">
        <v>74</v>
      </c>
      <c r="H154" s="15" t="s">
        <v>1451</v>
      </c>
      <c r="I154" s="15" t="s">
        <v>1452</v>
      </c>
      <c r="J154" s="15" t="s">
        <v>21</v>
      </c>
      <c r="K154" s="15" t="s">
        <v>1453</v>
      </c>
      <c r="L154" s="13" t="s">
        <v>1454</v>
      </c>
      <c r="M154" s="15" t="s">
        <v>29</v>
      </c>
      <c r="N154" s="13" t="s">
        <v>1455</v>
      </c>
      <c r="O154" s="15" t="s">
        <v>23</v>
      </c>
      <c r="P154" s="13" t="s">
        <v>1456</v>
      </c>
      <c r="Q154" s="13" t="s">
        <v>1457</v>
      </c>
      <c r="R154" s="5" t="s">
        <v>1845</v>
      </c>
    </row>
    <row r="155" spans="1:18" ht="35.4" x14ac:dyDescent="0.3">
      <c r="A155" s="27">
        <v>153</v>
      </c>
      <c r="B155" s="20" t="s">
        <v>1458</v>
      </c>
      <c r="C155" s="2" t="s">
        <v>1459</v>
      </c>
      <c r="D155" s="2">
        <v>2000</v>
      </c>
      <c r="E155" s="2" t="s">
        <v>628</v>
      </c>
      <c r="F155" s="2" t="s">
        <v>415</v>
      </c>
      <c r="G155" s="2" t="s">
        <v>416</v>
      </c>
      <c r="H155" s="2" t="s">
        <v>1460</v>
      </c>
      <c r="I155" s="2" t="s">
        <v>1461</v>
      </c>
      <c r="J155" s="2" t="s">
        <v>33</v>
      </c>
      <c r="K155" s="2" t="s">
        <v>1462</v>
      </c>
      <c r="L155" s="12" t="s">
        <v>1463</v>
      </c>
      <c r="M155" s="2" t="s">
        <v>132</v>
      </c>
      <c r="N155" s="12" t="s">
        <v>1464</v>
      </c>
      <c r="O155" s="2" t="s">
        <v>23</v>
      </c>
      <c r="P155" s="12" t="s">
        <v>1465</v>
      </c>
      <c r="Q155" s="12" t="s">
        <v>1466</v>
      </c>
      <c r="R155" s="1" t="s">
        <v>1803</v>
      </c>
    </row>
    <row r="156" spans="1:18" ht="35.4" x14ac:dyDescent="0.3">
      <c r="A156" s="28">
        <v>154</v>
      </c>
      <c r="B156" s="22" t="s">
        <v>1467</v>
      </c>
      <c r="C156" s="15" t="s">
        <v>1468</v>
      </c>
      <c r="D156" s="15">
        <v>2016</v>
      </c>
      <c r="E156" s="15" t="s">
        <v>628</v>
      </c>
      <c r="F156" s="15" t="s">
        <v>415</v>
      </c>
      <c r="G156" s="15" t="s">
        <v>427</v>
      </c>
      <c r="H156" s="15" t="s">
        <v>428</v>
      </c>
      <c r="I156" s="15" t="s">
        <v>1469</v>
      </c>
      <c r="J156" s="15" t="s">
        <v>35</v>
      </c>
      <c r="K156" s="15" t="s">
        <v>430</v>
      </c>
      <c r="L156" s="13" t="s">
        <v>1470</v>
      </c>
      <c r="M156" s="15" t="s">
        <v>67</v>
      </c>
      <c r="N156" s="13" t="s">
        <v>1471</v>
      </c>
      <c r="O156" s="15" t="s">
        <v>23</v>
      </c>
      <c r="P156" s="13" t="s">
        <v>1472</v>
      </c>
      <c r="Q156" s="13" t="s">
        <v>1473</v>
      </c>
      <c r="R156" s="5" t="s">
        <v>1804</v>
      </c>
    </row>
    <row r="157" spans="1:18" ht="22.8" x14ac:dyDescent="0.3">
      <c r="A157" s="27">
        <v>155</v>
      </c>
      <c r="B157" s="20" t="s">
        <v>1474</v>
      </c>
      <c r="C157" s="2" t="s">
        <v>364</v>
      </c>
      <c r="D157" s="2">
        <v>2000</v>
      </c>
      <c r="E157" s="2" t="s">
        <v>888</v>
      </c>
      <c r="F157" s="2" t="s">
        <v>415</v>
      </c>
      <c r="G157" s="2" t="s">
        <v>416</v>
      </c>
      <c r="H157" s="2" t="s">
        <v>1475</v>
      </c>
      <c r="I157" s="2" t="s">
        <v>1476</v>
      </c>
      <c r="J157" s="2" t="s">
        <v>33</v>
      </c>
      <c r="K157" s="2" t="s">
        <v>1477</v>
      </c>
      <c r="L157" s="12" t="s">
        <v>1478</v>
      </c>
      <c r="M157" s="2" t="s">
        <v>132</v>
      </c>
      <c r="N157" s="12" t="s">
        <v>1479</v>
      </c>
      <c r="O157" s="2" t="s">
        <v>23</v>
      </c>
      <c r="P157" s="12" t="s">
        <v>1480</v>
      </c>
      <c r="Q157" s="12" t="s">
        <v>1481</v>
      </c>
      <c r="R157" s="1" t="str">
        <f>HYPERLINK("https://doi.org/10.1613/jair.639","10.1613/jair.639")</f>
        <v>10.1613/jair.639</v>
      </c>
    </row>
    <row r="158" spans="1:18" ht="24" x14ac:dyDescent="0.3">
      <c r="A158" s="28">
        <v>156</v>
      </c>
      <c r="B158" s="22" t="s">
        <v>1482</v>
      </c>
      <c r="C158" s="15" t="s">
        <v>1483</v>
      </c>
      <c r="D158" s="15">
        <v>2025</v>
      </c>
      <c r="E158" s="15" t="s">
        <v>1484</v>
      </c>
      <c r="F158" s="15" t="s">
        <v>32</v>
      </c>
      <c r="G158" s="15" t="s">
        <v>117</v>
      </c>
      <c r="H158" s="15" t="s">
        <v>1485</v>
      </c>
      <c r="I158" s="15" t="s">
        <v>1486</v>
      </c>
      <c r="J158" s="15" t="s">
        <v>35</v>
      </c>
      <c r="K158" s="15" t="s">
        <v>1487</v>
      </c>
      <c r="L158" s="13" t="s">
        <v>1488</v>
      </c>
      <c r="M158" s="15" t="s">
        <v>29</v>
      </c>
      <c r="N158" s="13" t="s">
        <v>1489</v>
      </c>
      <c r="O158" s="15" t="s">
        <v>23</v>
      </c>
      <c r="P158" s="13" t="s">
        <v>1490</v>
      </c>
      <c r="Q158" s="13" t="s">
        <v>1491</v>
      </c>
      <c r="R158" s="5" t="s">
        <v>1846</v>
      </c>
    </row>
    <row r="159" spans="1:18" ht="22.8" x14ac:dyDescent="0.3">
      <c r="A159" s="27">
        <v>157</v>
      </c>
      <c r="B159" s="20" t="s">
        <v>1492</v>
      </c>
      <c r="C159" s="2" t="s">
        <v>1493</v>
      </c>
      <c r="D159" s="2">
        <v>2014</v>
      </c>
      <c r="E159" s="2" t="s">
        <v>1494</v>
      </c>
      <c r="F159" s="2" t="s">
        <v>415</v>
      </c>
      <c r="G159" s="2" t="s">
        <v>74</v>
      </c>
      <c r="H159" s="2" t="s">
        <v>1495</v>
      </c>
      <c r="I159" s="2" t="s">
        <v>1496</v>
      </c>
      <c r="J159" s="2" t="s">
        <v>21</v>
      </c>
      <c r="K159" s="2" t="s">
        <v>1497</v>
      </c>
      <c r="L159" s="12" t="s">
        <v>1498</v>
      </c>
      <c r="M159" s="2" t="s">
        <v>26</v>
      </c>
      <c r="N159" s="12" t="s">
        <v>1499</v>
      </c>
      <c r="O159" s="2" t="s">
        <v>23</v>
      </c>
      <c r="P159" s="12" t="s">
        <v>1500</v>
      </c>
      <c r="Q159" s="12" t="s">
        <v>1501</v>
      </c>
      <c r="R159" s="1" t="str">
        <f>HYPERLINK("https://doi.org/10.1609/aimag.v35i4.2513","10.1609/aimag.v35i4.2513")</f>
        <v>10.1609/aimag.v35i4.2513</v>
      </c>
    </row>
    <row r="160" spans="1:18" ht="34.200000000000003" x14ac:dyDescent="0.3">
      <c r="A160" s="28">
        <v>158</v>
      </c>
      <c r="B160" s="22" t="s">
        <v>1502</v>
      </c>
      <c r="C160" s="15" t="s">
        <v>1503</v>
      </c>
      <c r="D160" s="15">
        <v>2024</v>
      </c>
      <c r="E160" s="15" t="s">
        <v>1329</v>
      </c>
      <c r="F160" s="15" t="s">
        <v>32</v>
      </c>
      <c r="G160" s="15" t="s">
        <v>62</v>
      </c>
      <c r="H160" s="15" t="s">
        <v>1504</v>
      </c>
      <c r="I160" s="15" t="s">
        <v>1505</v>
      </c>
      <c r="J160" s="15" t="s">
        <v>21</v>
      </c>
      <c r="K160" s="15" t="s">
        <v>1506</v>
      </c>
      <c r="L160" s="13" t="s">
        <v>1507</v>
      </c>
      <c r="M160" s="15" t="s">
        <v>29</v>
      </c>
      <c r="N160" s="13" t="s">
        <v>1508</v>
      </c>
      <c r="O160" s="15" t="s">
        <v>23</v>
      </c>
      <c r="P160" s="13" t="s">
        <v>1509</v>
      </c>
      <c r="Q160" s="13" t="s">
        <v>1510</v>
      </c>
      <c r="R160" s="5" t="str">
        <f>HYPERLINK("https://doi.org/10.1177/02783649231215117","10.1177/02783649231215117")</f>
        <v>10.1177/02783649231215117</v>
      </c>
    </row>
    <row r="161" spans="1:18" ht="24" x14ac:dyDescent="0.3">
      <c r="A161" s="27">
        <v>159</v>
      </c>
      <c r="B161" s="20" t="s">
        <v>1511</v>
      </c>
      <c r="C161" s="2" t="s">
        <v>1512</v>
      </c>
      <c r="D161" s="2">
        <v>2025</v>
      </c>
      <c r="E161" s="2" t="s">
        <v>49</v>
      </c>
      <c r="F161" s="2" t="s">
        <v>32</v>
      </c>
      <c r="G161" s="2" t="s">
        <v>74</v>
      </c>
      <c r="H161" s="2" t="s">
        <v>1513</v>
      </c>
      <c r="I161" s="2" t="s">
        <v>1514</v>
      </c>
      <c r="J161" s="2" t="s">
        <v>21</v>
      </c>
      <c r="K161" s="2" t="s">
        <v>1515</v>
      </c>
      <c r="L161" s="12" t="s">
        <v>1516</v>
      </c>
      <c r="M161" s="2" t="s">
        <v>29</v>
      </c>
      <c r="N161" s="12" t="s">
        <v>1517</v>
      </c>
      <c r="O161" s="2" t="s">
        <v>23</v>
      </c>
      <c r="P161" s="12" t="s">
        <v>1518</v>
      </c>
      <c r="Q161" s="12" t="s">
        <v>1519</v>
      </c>
      <c r="R161" s="1" t="s">
        <v>1847</v>
      </c>
    </row>
    <row r="162" spans="1:18" ht="34.200000000000003" x14ac:dyDescent="0.3">
      <c r="A162" s="28">
        <v>160</v>
      </c>
      <c r="B162" s="22" t="s">
        <v>1520</v>
      </c>
      <c r="C162" s="15" t="s">
        <v>1521</v>
      </c>
      <c r="D162" s="15">
        <v>2019</v>
      </c>
      <c r="E162" s="15" t="s">
        <v>1494</v>
      </c>
      <c r="F162" s="15" t="s">
        <v>39</v>
      </c>
      <c r="G162" s="15" t="s">
        <v>50</v>
      </c>
      <c r="H162" s="15" t="s">
        <v>1522</v>
      </c>
      <c r="I162" s="15" t="s">
        <v>1523</v>
      </c>
      <c r="J162" s="15" t="s">
        <v>179</v>
      </c>
      <c r="K162" s="15" t="s">
        <v>1524</v>
      </c>
      <c r="L162" s="13" t="s">
        <v>1525</v>
      </c>
      <c r="M162" s="15" t="s">
        <v>22</v>
      </c>
      <c r="N162" s="13" t="s">
        <v>1526</v>
      </c>
      <c r="O162" s="15" t="s">
        <v>23</v>
      </c>
      <c r="P162" s="13" t="s">
        <v>1527</v>
      </c>
      <c r="Q162" s="13" t="s">
        <v>1528</v>
      </c>
      <c r="R162" s="5" t="str">
        <f>HYPERLINK("https://doi.org/10.1609/aimag.v40i2.2850","10.1609/aimag.v40i2.2850")</f>
        <v>10.1609/aimag.v40i2.2850</v>
      </c>
    </row>
    <row r="163" spans="1:18" ht="34.200000000000003" x14ac:dyDescent="0.3">
      <c r="A163" s="27">
        <v>161</v>
      </c>
      <c r="B163" s="20" t="s">
        <v>1529</v>
      </c>
      <c r="C163" s="2" t="s">
        <v>1530</v>
      </c>
      <c r="D163" s="2">
        <v>2021</v>
      </c>
      <c r="E163" s="2" t="s">
        <v>807</v>
      </c>
      <c r="F163" s="2" t="s">
        <v>39</v>
      </c>
      <c r="G163" s="2" t="s">
        <v>74</v>
      </c>
      <c r="H163" s="2" t="s">
        <v>1531</v>
      </c>
      <c r="I163" s="2" t="s">
        <v>1532</v>
      </c>
      <c r="J163" s="2" t="s">
        <v>21</v>
      </c>
      <c r="K163" s="2" t="s">
        <v>1533</v>
      </c>
      <c r="L163" s="12" t="s">
        <v>1534</v>
      </c>
      <c r="M163" s="2" t="s">
        <v>26</v>
      </c>
      <c r="N163" s="12" t="s">
        <v>1535</v>
      </c>
      <c r="O163" s="2" t="s">
        <v>23</v>
      </c>
      <c r="P163" s="12" t="s">
        <v>1536</v>
      </c>
      <c r="Q163" s="12" t="s">
        <v>1537</v>
      </c>
      <c r="R163" s="1" t="str">
        <f>HYPERLINK("https://doi.org/10.1609/aaai.v35i8.16819","10.1609/aaai.v35i8.16819")</f>
        <v>10.1609/aaai.v35i8.16819</v>
      </c>
    </row>
    <row r="164" spans="1:18" ht="22.8" x14ac:dyDescent="0.3">
      <c r="A164" s="28">
        <v>162</v>
      </c>
      <c r="B164" s="22" t="s">
        <v>1538</v>
      </c>
      <c r="C164" s="15" t="s">
        <v>1539</v>
      </c>
      <c r="D164" s="15">
        <v>2024</v>
      </c>
      <c r="E164" s="15" t="s">
        <v>1540</v>
      </c>
      <c r="F164" s="15" t="s">
        <v>32</v>
      </c>
      <c r="G164" s="15" t="s">
        <v>50</v>
      </c>
      <c r="H164" s="15" t="s">
        <v>745</v>
      </c>
      <c r="I164" s="15" t="s">
        <v>1541</v>
      </c>
      <c r="J164" s="15" t="s">
        <v>179</v>
      </c>
      <c r="K164" s="15" t="s">
        <v>1542</v>
      </c>
      <c r="L164" s="13" t="s">
        <v>1543</v>
      </c>
      <c r="M164" s="15" t="s">
        <v>29</v>
      </c>
      <c r="N164" s="13" t="s">
        <v>1544</v>
      </c>
      <c r="O164" s="15" t="s">
        <v>30</v>
      </c>
      <c r="P164" s="13" t="s">
        <v>1545</v>
      </c>
      <c r="Q164" s="13" t="s">
        <v>1546</v>
      </c>
      <c r="R164" s="5" t="str">
        <f>HYPERLINK("https://doi.org/10.1016/j.mtcomm.2024.110294","10.1016/j.mtcomm.2024.110294")</f>
        <v>10.1016/j.mtcomm.2024.110294</v>
      </c>
    </row>
    <row r="165" spans="1:18" ht="22.8" x14ac:dyDescent="0.3">
      <c r="A165" s="27">
        <v>163</v>
      </c>
      <c r="B165" s="20" t="s">
        <v>1547</v>
      </c>
      <c r="C165" s="2" t="s">
        <v>1548</v>
      </c>
      <c r="D165" s="2">
        <v>2025</v>
      </c>
      <c r="E165" s="2" t="s">
        <v>157</v>
      </c>
      <c r="F165" s="2" t="s">
        <v>34</v>
      </c>
      <c r="G165" s="2" t="s">
        <v>427</v>
      </c>
      <c r="H165" s="2" t="s">
        <v>1549</v>
      </c>
      <c r="I165" s="2" t="s">
        <v>1550</v>
      </c>
      <c r="J165" s="2" t="s">
        <v>33</v>
      </c>
      <c r="K165" s="2" t="s">
        <v>1551</v>
      </c>
      <c r="L165" s="12" t="s">
        <v>1552</v>
      </c>
      <c r="M165" s="2" t="s">
        <v>29</v>
      </c>
      <c r="N165" s="12" t="s">
        <v>1553</v>
      </c>
      <c r="O165" s="2" t="s">
        <v>30</v>
      </c>
      <c r="P165" s="12" t="s">
        <v>1554</v>
      </c>
      <c r="Q165" s="12" t="s">
        <v>1555</v>
      </c>
      <c r="R165" s="1" t="str">
        <f>HYPERLINK("https://doi.org/10.48550/arXiv.2502.00726","10.48550/arXiv.2502.00726")</f>
        <v>10.48550/arXiv.2502.00726</v>
      </c>
    </row>
    <row r="166" spans="1:18" ht="34.200000000000003" x14ac:dyDescent="0.3">
      <c r="A166" s="28">
        <v>164</v>
      </c>
      <c r="B166" s="22" t="s">
        <v>1556</v>
      </c>
      <c r="C166" s="15" t="s">
        <v>1557</v>
      </c>
      <c r="D166" s="15">
        <v>2019</v>
      </c>
      <c r="E166" s="15" t="s">
        <v>1558</v>
      </c>
      <c r="F166" s="15" t="s">
        <v>34</v>
      </c>
      <c r="G166" s="15" t="s">
        <v>50</v>
      </c>
      <c r="H166" s="15" t="s">
        <v>1559</v>
      </c>
      <c r="I166" s="15" t="s">
        <v>1560</v>
      </c>
      <c r="J166" s="15" t="s">
        <v>33</v>
      </c>
      <c r="K166" s="15" t="s">
        <v>1561</v>
      </c>
      <c r="L166" s="13" t="s">
        <v>1562</v>
      </c>
      <c r="M166" s="15" t="s">
        <v>22</v>
      </c>
      <c r="N166" s="13" t="s">
        <v>1563</v>
      </c>
      <c r="O166" s="15" t="s">
        <v>23</v>
      </c>
      <c r="P166" s="13" t="s">
        <v>1564</v>
      </c>
      <c r="Q166" s="13" t="s">
        <v>1565</v>
      </c>
      <c r="R166" s="5" t="s">
        <v>1805</v>
      </c>
    </row>
    <row r="167" spans="1:18" ht="24" x14ac:dyDescent="0.3">
      <c r="A167" s="27">
        <v>165</v>
      </c>
      <c r="B167" s="20" t="s">
        <v>1566</v>
      </c>
      <c r="C167" s="2" t="s">
        <v>1567</v>
      </c>
      <c r="D167" s="2">
        <v>2022</v>
      </c>
      <c r="E167" s="2" t="s">
        <v>84</v>
      </c>
      <c r="F167" s="2" t="s">
        <v>34</v>
      </c>
      <c r="G167" s="2" t="s">
        <v>578</v>
      </c>
      <c r="H167" s="2" t="s">
        <v>1568</v>
      </c>
      <c r="I167" s="2" t="s">
        <v>1569</v>
      </c>
      <c r="J167" s="2" t="s">
        <v>35</v>
      </c>
      <c r="K167" s="2" t="s">
        <v>1570</v>
      </c>
      <c r="L167" s="12" t="s">
        <v>1571</v>
      </c>
      <c r="M167" s="2" t="s">
        <v>67</v>
      </c>
      <c r="N167" s="12" t="s">
        <v>1572</v>
      </c>
      <c r="O167" s="2" t="s">
        <v>23</v>
      </c>
      <c r="P167" s="12" t="s">
        <v>1573</v>
      </c>
      <c r="Q167" s="12" t="s">
        <v>1574</v>
      </c>
      <c r="R167" s="1" t="s">
        <v>1795</v>
      </c>
    </row>
    <row r="168" spans="1:18" ht="34.200000000000003" x14ac:dyDescent="0.3">
      <c r="A168" s="28">
        <v>166</v>
      </c>
      <c r="B168" s="22" t="s">
        <v>1575</v>
      </c>
      <c r="C168" s="15" t="s">
        <v>1576</v>
      </c>
      <c r="D168" s="15">
        <v>2024</v>
      </c>
      <c r="E168" s="15" t="s">
        <v>157</v>
      </c>
      <c r="F168" s="15" t="s">
        <v>34</v>
      </c>
      <c r="G168" s="15" t="s">
        <v>1577</v>
      </c>
      <c r="H168" s="15" t="s">
        <v>1578</v>
      </c>
      <c r="I168" s="15" t="s">
        <v>1579</v>
      </c>
      <c r="J168" s="15" t="s">
        <v>33</v>
      </c>
      <c r="K168" s="15" t="s">
        <v>1580</v>
      </c>
      <c r="L168" s="13" t="s">
        <v>1581</v>
      </c>
      <c r="M168" s="15" t="s">
        <v>29</v>
      </c>
      <c r="N168" s="13" t="s">
        <v>1582</v>
      </c>
      <c r="O168" s="15" t="s">
        <v>23</v>
      </c>
      <c r="P168" s="13" t="s">
        <v>1583</v>
      </c>
      <c r="Q168" s="13" t="s">
        <v>1584</v>
      </c>
      <c r="R168" s="5" t="str">
        <f>HYPERLINK("https://doi.org/10.48550/arXiv.2409.19038","10.48550/arXiv.2409.19038")</f>
        <v>10.48550/arXiv.2409.19038</v>
      </c>
    </row>
    <row r="169" spans="1:18" ht="24" x14ac:dyDescent="0.3">
      <c r="A169" s="27">
        <v>167</v>
      </c>
      <c r="B169" s="20" t="s">
        <v>1585</v>
      </c>
      <c r="C169" s="2" t="s">
        <v>1586</v>
      </c>
      <c r="D169" s="2">
        <v>2025</v>
      </c>
      <c r="E169" s="2" t="s">
        <v>1587</v>
      </c>
      <c r="F169" s="2" t="s">
        <v>34</v>
      </c>
      <c r="G169" s="2" t="s">
        <v>50</v>
      </c>
      <c r="H169" s="2" t="s">
        <v>1588</v>
      </c>
      <c r="I169" s="2" t="s">
        <v>1589</v>
      </c>
      <c r="J169" s="2" t="s">
        <v>35</v>
      </c>
      <c r="K169" s="2" t="s">
        <v>1590</v>
      </c>
      <c r="L169" s="12" t="s">
        <v>1591</v>
      </c>
      <c r="M169" s="2" t="s">
        <v>29</v>
      </c>
      <c r="N169" s="12" t="s">
        <v>1592</v>
      </c>
      <c r="O169" s="2" t="s">
        <v>30</v>
      </c>
      <c r="P169" s="12" t="s">
        <v>1593</v>
      </c>
      <c r="Q169" s="12" t="s">
        <v>1594</v>
      </c>
      <c r="R169" s="1" t="s">
        <v>1801</v>
      </c>
    </row>
    <row r="170" spans="1:18" ht="34.200000000000003" x14ac:dyDescent="0.3">
      <c r="A170" s="28">
        <v>168</v>
      </c>
      <c r="B170" s="22" t="s">
        <v>1595</v>
      </c>
      <c r="C170" s="15" t="s">
        <v>1596</v>
      </c>
      <c r="D170" s="15">
        <v>2025</v>
      </c>
      <c r="E170" s="15" t="s">
        <v>1597</v>
      </c>
      <c r="F170" s="15" t="s">
        <v>34</v>
      </c>
      <c r="G170" s="15" t="s">
        <v>1598</v>
      </c>
      <c r="H170" s="15" t="s">
        <v>1599</v>
      </c>
      <c r="I170" s="15" t="s">
        <v>1600</v>
      </c>
      <c r="J170" s="15" t="s">
        <v>21</v>
      </c>
      <c r="K170" s="15" t="s">
        <v>1601</v>
      </c>
      <c r="L170" s="13" t="s">
        <v>1602</v>
      </c>
      <c r="M170" s="15" t="s">
        <v>29</v>
      </c>
      <c r="N170" s="13" t="s">
        <v>1603</v>
      </c>
      <c r="O170" s="15" t="s">
        <v>30</v>
      </c>
      <c r="P170" s="13" t="s">
        <v>1604</v>
      </c>
      <c r="Q170" s="13" t="s">
        <v>1555</v>
      </c>
      <c r="R170" s="5" t="s">
        <v>1848</v>
      </c>
    </row>
    <row r="171" spans="1:18" ht="34.200000000000003" x14ac:dyDescent="0.3">
      <c r="A171" s="27">
        <v>169</v>
      </c>
      <c r="B171" s="20" t="s">
        <v>1605</v>
      </c>
      <c r="C171" s="2" t="s">
        <v>1174</v>
      </c>
      <c r="D171" s="2">
        <v>2025</v>
      </c>
      <c r="E171" s="2" t="s">
        <v>157</v>
      </c>
      <c r="F171" s="2" t="s">
        <v>34</v>
      </c>
      <c r="G171" s="2" t="s">
        <v>158</v>
      </c>
      <c r="H171" s="2" t="s">
        <v>1606</v>
      </c>
      <c r="I171" s="2" t="s">
        <v>1607</v>
      </c>
      <c r="J171" s="2" t="s">
        <v>33</v>
      </c>
      <c r="K171" s="2" t="s">
        <v>1608</v>
      </c>
      <c r="L171" s="12" t="s">
        <v>1609</v>
      </c>
      <c r="M171" s="2" t="s">
        <v>29</v>
      </c>
      <c r="N171" s="12" t="s">
        <v>1610</v>
      </c>
      <c r="O171" s="2" t="s">
        <v>30</v>
      </c>
      <c r="P171" s="12" t="s">
        <v>1611</v>
      </c>
      <c r="Q171" s="12" t="s">
        <v>1612</v>
      </c>
      <c r="R171" s="1" t="str">
        <f>HYPERLINK("https://doi.org/10.48550/arXiv.2511.22767","10.48550/arXiv.2511.22767")</f>
        <v>10.48550/arXiv.2511.22767</v>
      </c>
    </row>
    <row r="172" spans="1:18" ht="34.200000000000003" x14ac:dyDescent="0.3">
      <c r="A172" s="28">
        <v>170</v>
      </c>
      <c r="B172" s="22" t="s">
        <v>1613</v>
      </c>
      <c r="C172" s="15" t="s">
        <v>1174</v>
      </c>
      <c r="D172" s="15">
        <v>2025</v>
      </c>
      <c r="E172" s="15" t="s">
        <v>157</v>
      </c>
      <c r="F172" s="15" t="s">
        <v>34</v>
      </c>
      <c r="G172" s="15" t="s">
        <v>158</v>
      </c>
      <c r="H172" s="15" t="s">
        <v>1606</v>
      </c>
      <c r="I172" s="15" t="s">
        <v>1614</v>
      </c>
      <c r="J172" s="15" t="s">
        <v>33</v>
      </c>
      <c r="K172" s="15" t="s">
        <v>1615</v>
      </c>
      <c r="L172" s="13" t="s">
        <v>1616</v>
      </c>
      <c r="M172" s="15" t="s">
        <v>29</v>
      </c>
      <c r="N172" s="13" t="s">
        <v>1617</v>
      </c>
      <c r="O172" s="15" t="s">
        <v>30</v>
      </c>
      <c r="P172" s="13" t="s">
        <v>1618</v>
      </c>
      <c r="Q172" s="13" t="s">
        <v>1619</v>
      </c>
      <c r="R172" s="5" t="str">
        <f>HYPERLINK("https://doi.org/10.48550/arXiv.2511.23366","10.48550/arXiv.2511.23366")</f>
        <v>10.48550/arXiv.2511.23366</v>
      </c>
    </row>
    <row r="173" spans="1:18" ht="34.200000000000003" x14ac:dyDescent="0.3">
      <c r="A173" s="27">
        <v>171</v>
      </c>
      <c r="B173" s="20" t="s">
        <v>1620</v>
      </c>
      <c r="C173" s="2" t="s">
        <v>1621</v>
      </c>
      <c r="D173" s="2">
        <v>2023</v>
      </c>
      <c r="E173" s="2" t="s">
        <v>1622</v>
      </c>
      <c r="F173" s="2" t="s">
        <v>34</v>
      </c>
      <c r="G173" s="2" t="s">
        <v>1623</v>
      </c>
      <c r="H173" s="2" t="s">
        <v>1624</v>
      </c>
      <c r="I173" s="2" t="s">
        <v>1625</v>
      </c>
      <c r="J173" s="2" t="s">
        <v>200</v>
      </c>
      <c r="K173" s="2" t="s">
        <v>1626</v>
      </c>
      <c r="L173" s="12" t="s">
        <v>1627</v>
      </c>
      <c r="M173" s="2" t="s">
        <v>26</v>
      </c>
      <c r="N173" s="12" t="s">
        <v>1628</v>
      </c>
      <c r="O173" s="2" t="s">
        <v>23</v>
      </c>
      <c r="P173" s="12" t="s">
        <v>1629</v>
      </c>
      <c r="Q173" s="12" t="s">
        <v>1630</v>
      </c>
      <c r="R173" s="1" t="str">
        <f>HYPERLINK("https://doi.org/10.1080/10447318.2022.2095093","10.1080/10447318.2022.2095093")</f>
        <v>10.1080/10447318.2022.2095093</v>
      </c>
    </row>
    <row r="174" spans="1:18" ht="34.200000000000003" x14ac:dyDescent="0.3">
      <c r="A174" s="28">
        <v>172</v>
      </c>
      <c r="B174" s="22" t="s">
        <v>1631</v>
      </c>
      <c r="C174" s="15" t="s">
        <v>1220</v>
      </c>
      <c r="D174" s="15">
        <v>2025</v>
      </c>
      <c r="E174" s="15" t="s">
        <v>157</v>
      </c>
      <c r="F174" s="15" t="s">
        <v>34</v>
      </c>
      <c r="G174" s="15" t="s">
        <v>158</v>
      </c>
      <c r="H174" s="15" t="s">
        <v>1606</v>
      </c>
      <c r="I174" s="15" t="s">
        <v>1632</v>
      </c>
      <c r="J174" s="15" t="s">
        <v>35</v>
      </c>
      <c r="K174" s="15" t="s">
        <v>1633</v>
      </c>
      <c r="L174" s="13" t="s">
        <v>1634</v>
      </c>
      <c r="M174" s="15" t="s">
        <v>26</v>
      </c>
      <c r="N174" s="13" t="s">
        <v>1635</v>
      </c>
      <c r="O174" s="15" t="s">
        <v>30</v>
      </c>
      <c r="P174" s="13" t="s">
        <v>1636</v>
      </c>
      <c r="Q174" s="13" t="s">
        <v>1637</v>
      </c>
      <c r="R174" s="5" t="str">
        <f>HYPERLINK("https://doi.org/10.48550/arXiv.2511.22737","10.48550/arXiv.2511.22737")</f>
        <v>10.48550/arXiv.2511.22737</v>
      </c>
    </row>
    <row r="175" spans="1:18" ht="34.200000000000003" x14ac:dyDescent="0.3">
      <c r="A175" s="27">
        <v>173</v>
      </c>
      <c r="B175" s="20" t="s">
        <v>1638</v>
      </c>
      <c r="C175" s="2" t="s">
        <v>1639</v>
      </c>
      <c r="D175" s="2">
        <v>2024</v>
      </c>
      <c r="E175" s="2" t="s">
        <v>628</v>
      </c>
      <c r="F175" s="2" t="s">
        <v>34</v>
      </c>
      <c r="G175" s="2" t="s">
        <v>158</v>
      </c>
      <c r="H175" s="2" t="s">
        <v>1640</v>
      </c>
      <c r="I175" s="2" t="s">
        <v>1641</v>
      </c>
      <c r="J175" s="2" t="s">
        <v>35</v>
      </c>
      <c r="K175" s="2" t="s">
        <v>1642</v>
      </c>
      <c r="L175" s="12" t="s">
        <v>1643</v>
      </c>
      <c r="M175" s="2" t="s">
        <v>67</v>
      </c>
      <c r="N175" s="12" t="s">
        <v>1644</v>
      </c>
      <c r="O175" s="2" t="s">
        <v>23</v>
      </c>
      <c r="P175" s="12" t="s">
        <v>1645</v>
      </c>
      <c r="Q175" s="12" t="s">
        <v>1646</v>
      </c>
      <c r="R175" s="1" t="s">
        <v>1806</v>
      </c>
    </row>
    <row r="176" spans="1:18" ht="34.200000000000003" x14ac:dyDescent="0.3">
      <c r="A176" s="28">
        <v>174</v>
      </c>
      <c r="B176" s="22" t="s">
        <v>1647</v>
      </c>
      <c r="C176" s="15" t="s">
        <v>1648</v>
      </c>
      <c r="D176" s="15">
        <v>2025</v>
      </c>
      <c r="E176" s="15" t="s">
        <v>157</v>
      </c>
      <c r="F176" s="15" t="s">
        <v>34</v>
      </c>
      <c r="G176" s="15" t="s">
        <v>158</v>
      </c>
      <c r="H176" s="15" t="s">
        <v>1649</v>
      </c>
      <c r="I176" s="15" t="s">
        <v>1650</v>
      </c>
      <c r="J176" s="15" t="s">
        <v>21</v>
      </c>
      <c r="K176" s="15" t="s">
        <v>1651</v>
      </c>
      <c r="L176" s="13" t="s">
        <v>1652</v>
      </c>
      <c r="M176" s="15" t="s">
        <v>29</v>
      </c>
      <c r="N176" s="13" t="s">
        <v>1653</v>
      </c>
      <c r="O176" s="15" t="s">
        <v>23</v>
      </c>
      <c r="P176" s="13" t="s">
        <v>1654</v>
      </c>
      <c r="Q176" s="13" t="s">
        <v>1655</v>
      </c>
      <c r="R176" s="5" t="str">
        <f>HYPERLINK("https://doi.org/10.48550/arXiv.2506.04133","10.48550/arXiv.2506.04133")</f>
        <v>10.48550/arXiv.2506.04133</v>
      </c>
    </row>
    <row r="177" spans="1:18" ht="34.200000000000003" x14ac:dyDescent="0.3">
      <c r="A177" s="27">
        <v>175</v>
      </c>
      <c r="B177" s="20" t="s">
        <v>1656</v>
      </c>
      <c r="C177" s="2" t="s">
        <v>1220</v>
      </c>
      <c r="D177" s="2">
        <v>2025</v>
      </c>
      <c r="E177" s="2" t="s">
        <v>157</v>
      </c>
      <c r="F177" s="2" t="s">
        <v>34</v>
      </c>
      <c r="G177" s="2" t="s">
        <v>158</v>
      </c>
      <c r="H177" s="2" t="s">
        <v>1657</v>
      </c>
      <c r="I177" s="2" t="s">
        <v>1658</v>
      </c>
      <c r="J177" s="2" t="s">
        <v>21</v>
      </c>
      <c r="K177" s="2" t="s">
        <v>1659</v>
      </c>
      <c r="L177" s="12" t="s">
        <v>1660</v>
      </c>
      <c r="M177" s="2" t="s">
        <v>29</v>
      </c>
      <c r="N177" s="12" t="s">
        <v>1661</v>
      </c>
      <c r="O177" s="2" t="s">
        <v>30</v>
      </c>
      <c r="P177" s="12" t="s">
        <v>1662</v>
      </c>
      <c r="Q177" s="12" t="s">
        <v>1663</v>
      </c>
      <c r="R177" s="1" t="str">
        <f>HYPERLINK("https://doi.org/10.48550/arXiv.2512.20985","10.48550/arXiv.2512.20985")</f>
        <v>10.48550/arXiv.2512.20985</v>
      </c>
    </row>
    <row r="178" spans="1:18" ht="22.8" x14ac:dyDescent="0.3">
      <c r="A178" s="28">
        <v>176</v>
      </c>
      <c r="B178" s="22" t="s">
        <v>1664</v>
      </c>
      <c r="C178" s="15" t="s">
        <v>1174</v>
      </c>
      <c r="D178" s="15">
        <v>2025</v>
      </c>
      <c r="E178" s="15" t="s">
        <v>157</v>
      </c>
      <c r="F178" s="15" t="s">
        <v>1665</v>
      </c>
      <c r="G178" s="15" t="s">
        <v>158</v>
      </c>
      <c r="H178" s="15" t="s">
        <v>1666</v>
      </c>
      <c r="I178" s="15" t="s">
        <v>1667</v>
      </c>
      <c r="J178" s="15" t="s">
        <v>35</v>
      </c>
      <c r="K178" s="15" t="s">
        <v>1668</v>
      </c>
      <c r="L178" s="13" t="s">
        <v>1669</v>
      </c>
      <c r="M178" s="15" t="s">
        <v>29</v>
      </c>
      <c r="N178" s="13" t="s">
        <v>1670</v>
      </c>
      <c r="O178" s="15" t="s">
        <v>30</v>
      </c>
      <c r="P178" s="13" t="s">
        <v>1671</v>
      </c>
      <c r="Q178" s="13" t="s">
        <v>1672</v>
      </c>
      <c r="R178" s="5" t="str">
        <f>HYPERLINK("https://doi.org/10.48550/arXiv.2512.23480","10.48550/arXiv.2512.23480")</f>
        <v>10.48550/arXiv.2512.23480</v>
      </c>
    </row>
    <row r="179" spans="1:18" ht="34.200000000000003" x14ac:dyDescent="0.3">
      <c r="A179" s="27">
        <v>177</v>
      </c>
      <c r="B179" s="20" t="s">
        <v>1673</v>
      </c>
      <c r="C179" s="2" t="s">
        <v>1174</v>
      </c>
      <c r="D179" s="2">
        <v>2025</v>
      </c>
      <c r="E179" s="2" t="s">
        <v>157</v>
      </c>
      <c r="F179" s="2" t="s">
        <v>610</v>
      </c>
      <c r="G179" s="2" t="s">
        <v>158</v>
      </c>
      <c r="H179" s="2" t="s">
        <v>1606</v>
      </c>
      <c r="I179" s="2" t="s">
        <v>1674</v>
      </c>
      <c r="J179" s="2" t="s">
        <v>35</v>
      </c>
      <c r="K179" s="2" t="s">
        <v>1675</v>
      </c>
      <c r="L179" s="12" t="s">
        <v>1676</v>
      </c>
      <c r="M179" s="2" t="s">
        <v>26</v>
      </c>
      <c r="N179" s="12" t="s">
        <v>1677</v>
      </c>
      <c r="O179" s="2" t="s">
        <v>30</v>
      </c>
      <c r="P179" s="12" t="s">
        <v>1678</v>
      </c>
      <c r="Q179" s="12" t="s">
        <v>1679</v>
      </c>
      <c r="R179" s="1" t="str">
        <f>HYPERLINK("https://doi.org/10.48550/arXiv.2512.20991","10.48550/arXiv.2512.20991")</f>
        <v>10.48550/arXiv.2512.20991</v>
      </c>
    </row>
    <row r="180" spans="1:18" ht="34.200000000000003" x14ac:dyDescent="0.3">
      <c r="A180" s="28">
        <v>178</v>
      </c>
      <c r="B180" s="22" t="s">
        <v>1680</v>
      </c>
      <c r="C180" s="15" t="s">
        <v>1174</v>
      </c>
      <c r="D180" s="15">
        <v>2025</v>
      </c>
      <c r="E180" s="15" t="s">
        <v>1681</v>
      </c>
      <c r="F180" s="15" t="s">
        <v>1682</v>
      </c>
      <c r="G180" s="15" t="s">
        <v>158</v>
      </c>
      <c r="H180" s="15" t="s">
        <v>1683</v>
      </c>
      <c r="I180" s="15" t="s">
        <v>1684</v>
      </c>
      <c r="J180" s="15" t="s">
        <v>35</v>
      </c>
      <c r="K180" s="15" t="s">
        <v>1685</v>
      </c>
      <c r="L180" s="13" t="s">
        <v>1686</v>
      </c>
      <c r="M180" s="15" t="s">
        <v>22</v>
      </c>
      <c r="N180" s="13" t="s">
        <v>1687</v>
      </c>
      <c r="O180" s="15" t="s">
        <v>30</v>
      </c>
      <c r="P180" s="13" t="s">
        <v>1688</v>
      </c>
      <c r="Q180" s="13" t="s">
        <v>1689</v>
      </c>
      <c r="R180" s="5" t="s">
        <v>1849</v>
      </c>
    </row>
    <row r="181" spans="1:18" ht="34.200000000000003" x14ac:dyDescent="0.3">
      <c r="A181" s="27">
        <v>179</v>
      </c>
      <c r="B181" s="20" t="s">
        <v>1690</v>
      </c>
      <c r="C181" s="2" t="s">
        <v>1174</v>
      </c>
      <c r="D181" s="2">
        <v>2024</v>
      </c>
      <c r="E181" s="2" t="s">
        <v>763</v>
      </c>
      <c r="F181" s="2" t="s">
        <v>34</v>
      </c>
      <c r="G181" s="2" t="s">
        <v>567</v>
      </c>
      <c r="H181" s="2" t="s">
        <v>1691</v>
      </c>
      <c r="I181" s="2" t="s">
        <v>1692</v>
      </c>
      <c r="J181" s="2" t="s">
        <v>35</v>
      </c>
      <c r="K181" s="2" t="s">
        <v>1693</v>
      </c>
      <c r="L181" s="12" t="s">
        <v>1694</v>
      </c>
      <c r="M181" s="2" t="s">
        <v>29</v>
      </c>
      <c r="N181" s="12" t="s">
        <v>1695</v>
      </c>
      <c r="O181" s="2" t="s">
        <v>23</v>
      </c>
      <c r="P181" s="12" t="s">
        <v>1696</v>
      </c>
      <c r="Q181" s="12" t="s">
        <v>1697</v>
      </c>
      <c r="R181" s="1" t="str">
        <f>HYPERLINK("https://doi.org/10.3390/ai5040103","10.3390/ai5040103")</f>
        <v>10.3390/ai5040103</v>
      </c>
    </row>
    <row r="182" spans="1:18" ht="34.200000000000003" x14ac:dyDescent="0.3">
      <c r="A182" s="28">
        <v>180</v>
      </c>
      <c r="B182" s="22" t="s">
        <v>1698</v>
      </c>
      <c r="C182" s="15" t="s">
        <v>1174</v>
      </c>
      <c r="D182" s="15">
        <v>2025</v>
      </c>
      <c r="E182" s="15" t="s">
        <v>157</v>
      </c>
      <c r="F182" s="15" t="s">
        <v>1665</v>
      </c>
      <c r="G182" s="15" t="s">
        <v>158</v>
      </c>
      <c r="H182" s="15" t="s">
        <v>1699</v>
      </c>
      <c r="I182" s="15" t="s">
        <v>1700</v>
      </c>
      <c r="J182" s="15" t="s">
        <v>35</v>
      </c>
      <c r="K182" s="15" t="s">
        <v>1701</v>
      </c>
      <c r="L182" s="13" t="s">
        <v>1702</v>
      </c>
      <c r="M182" s="15" t="s">
        <v>29</v>
      </c>
      <c r="N182" s="13" t="s">
        <v>1703</v>
      </c>
      <c r="O182" s="15" t="s">
        <v>23</v>
      </c>
      <c r="P182" s="13" t="s">
        <v>1704</v>
      </c>
      <c r="Q182" s="13" t="s">
        <v>1705</v>
      </c>
      <c r="R182" s="5" t="str">
        <f>HYPERLINK("https://doi.org/10.48550/arXiv.2512.23557","10.48550/arXiv.2512.23557")</f>
        <v>10.48550/arXiv.2512.23557</v>
      </c>
    </row>
    <row r="183" spans="1:18" ht="24" x14ac:dyDescent="0.3">
      <c r="A183" s="27">
        <v>181</v>
      </c>
      <c r="B183" s="20" t="s">
        <v>1706</v>
      </c>
      <c r="C183" s="2" t="s">
        <v>1707</v>
      </c>
      <c r="D183" s="2">
        <v>2025</v>
      </c>
      <c r="E183" s="2" t="s">
        <v>1708</v>
      </c>
      <c r="F183" s="2" t="s">
        <v>39</v>
      </c>
      <c r="G183" s="2" t="s">
        <v>74</v>
      </c>
      <c r="H183" s="2" t="s">
        <v>1513</v>
      </c>
      <c r="I183" s="2" t="s">
        <v>1452</v>
      </c>
      <c r="J183" s="2" t="s">
        <v>21</v>
      </c>
      <c r="K183" s="2" t="s">
        <v>1709</v>
      </c>
      <c r="L183" s="12" t="s">
        <v>1710</v>
      </c>
      <c r="M183" s="2" t="s">
        <v>22</v>
      </c>
      <c r="N183" s="12" t="s">
        <v>1711</v>
      </c>
      <c r="O183" s="2" t="s">
        <v>23</v>
      </c>
      <c r="P183" s="12" t="s">
        <v>1712</v>
      </c>
      <c r="Q183" s="12" t="s">
        <v>1713</v>
      </c>
      <c r="R183" s="1" t="s">
        <v>1850</v>
      </c>
    </row>
    <row r="184" spans="1:18" ht="34.200000000000003" x14ac:dyDescent="0.3">
      <c r="A184" s="28">
        <v>182</v>
      </c>
      <c r="B184" s="22" t="s">
        <v>1714</v>
      </c>
      <c r="C184" s="15" t="s">
        <v>1715</v>
      </c>
      <c r="D184" s="15">
        <v>2025</v>
      </c>
      <c r="E184" s="15" t="s">
        <v>1716</v>
      </c>
      <c r="F184" s="15" t="s">
        <v>39</v>
      </c>
      <c r="G184" s="15" t="s">
        <v>62</v>
      </c>
      <c r="H184" s="15" t="s">
        <v>1717</v>
      </c>
      <c r="I184" s="15" t="s">
        <v>1718</v>
      </c>
      <c r="J184" s="15" t="s">
        <v>179</v>
      </c>
      <c r="K184" s="15" t="s">
        <v>1719</v>
      </c>
      <c r="L184" s="13" t="s">
        <v>1720</v>
      </c>
      <c r="M184" s="15" t="s">
        <v>29</v>
      </c>
      <c r="N184" s="13" t="s">
        <v>1721</v>
      </c>
      <c r="O184" s="15" t="s">
        <v>23</v>
      </c>
      <c r="P184" s="13" t="s">
        <v>1722</v>
      </c>
      <c r="Q184" s="13" t="s">
        <v>1723</v>
      </c>
      <c r="R184" s="5" t="s">
        <v>1851</v>
      </c>
    </row>
    <row r="185" spans="1:18" ht="34.200000000000003" x14ac:dyDescent="0.3">
      <c r="A185" s="27">
        <v>183</v>
      </c>
      <c r="B185" s="20" t="s">
        <v>1724</v>
      </c>
      <c r="C185" s="2" t="s">
        <v>1725</v>
      </c>
      <c r="D185" s="2">
        <v>2025</v>
      </c>
      <c r="E185" s="2" t="s">
        <v>1726</v>
      </c>
      <c r="F185" s="2" t="s">
        <v>39</v>
      </c>
      <c r="G185" s="2" t="s">
        <v>50</v>
      </c>
      <c r="H185" s="2" t="s">
        <v>745</v>
      </c>
      <c r="I185" s="2" t="s">
        <v>938</v>
      </c>
      <c r="J185" s="2" t="s">
        <v>179</v>
      </c>
      <c r="K185" s="2" t="s">
        <v>1727</v>
      </c>
      <c r="L185" s="12" t="s">
        <v>1728</v>
      </c>
      <c r="M185" s="2" t="s">
        <v>29</v>
      </c>
      <c r="N185" s="12" t="s">
        <v>1729</v>
      </c>
      <c r="O185" s="2" t="s">
        <v>23</v>
      </c>
      <c r="P185" s="12" t="s">
        <v>1730</v>
      </c>
      <c r="Q185" s="12" t="s">
        <v>1731</v>
      </c>
      <c r="R185" s="1" t="s">
        <v>1852</v>
      </c>
    </row>
    <row r="186" spans="1:18" ht="34.200000000000003" x14ac:dyDescent="0.3">
      <c r="A186" s="28">
        <v>184</v>
      </c>
      <c r="B186" s="22" t="s">
        <v>1732</v>
      </c>
      <c r="C186" s="15" t="s">
        <v>1733</v>
      </c>
      <c r="D186" s="15">
        <v>2021</v>
      </c>
      <c r="E186" s="15" t="s">
        <v>115</v>
      </c>
      <c r="F186" s="15" t="s">
        <v>415</v>
      </c>
      <c r="G186" s="15" t="s">
        <v>567</v>
      </c>
      <c r="H186" s="15" t="s">
        <v>1734</v>
      </c>
      <c r="I186" s="15" t="s">
        <v>1735</v>
      </c>
      <c r="J186" s="15" t="s">
        <v>35</v>
      </c>
      <c r="K186" s="15" t="s">
        <v>1736</v>
      </c>
      <c r="L186" s="13" t="s">
        <v>1737</v>
      </c>
      <c r="M186" s="15" t="s">
        <v>132</v>
      </c>
      <c r="N186" s="13" t="s">
        <v>1738</v>
      </c>
      <c r="O186" s="15" t="s">
        <v>23</v>
      </c>
      <c r="P186" s="13" t="s">
        <v>1739</v>
      </c>
      <c r="Q186" s="13" t="s">
        <v>1740</v>
      </c>
      <c r="R186" s="5" t="str">
        <f>HYPERLINK("https://doi.org/10.1109/ICCV48922.2021.00147","10.1109/ICCV48922.2021.00147")</f>
        <v>10.1109/ICCV48922.2021.00147</v>
      </c>
    </row>
    <row r="187" spans="1:18" ht="24" x14ac:dyDescent="0.3">
      <c r="A187" s="27">
        <v>185</v>
      </c>
      <c r="B187" s="20" t="s">
        <v>1741</v>
      </c>
      <c r="C187" s="2" t="s">
        <v>1742</v>
      </c>
      <c r="D187" s="2">
        <v>2021</v>
      </c>
      <c r="E187" s="2" t="s">
        <v>628</v>
      </c>
      <c r="F187" s="2" t="s">
        <v>415</v>
      </c>
      <c r="G187" s="2" t="s">
        <v>567</v>
      </c>
      <c r="H187" s="2" t="s">
        <v>1743</v>
      </c>
      <c r="I187" s="2" t="s">
        <v>1744</v>
      </c>
      <c r="J187" s="2" t="s">
        <v>35</v>
      </c>
      <c r="K187" s="2" t="s">
        <v>1745</v>
      </c>
      <c r="L187" s="12" t="s">
        <v>1746</v>
      </c>
      <c r="M187" s="2" t="s">
        <v>132</v>
      </c>
      <c r="N187" s="12" t="s">
        <v>1747</v>
      </c>
      <c r="O187" s="2" t="s">
        <v>23</v>
      </c>
      <c r="P187" s="12" t="s">
        <v>1748</v>
      </c>
      <c r="Q187" s="12" t="s">
        <v>1749</v>
      </c>
      <c r="R187" s="1" t="s">
        <v>1807</v>
      </c>
    </row>
    <row r="188" spans="1:18" ht="34.200000000000003" x14ac:dyDescent="0.3">
      <c r="A188" s="28">
        <v>186</v>
      </c>
      <c r="B188" s="21" t="s">
        <v>1750</v>
      </c>
      <c r="C188" s="15" t="s">
        <v>1751</v>
      </c>
      <c r="D188" s="15">
        <v>2023</v>
      </c>
      <c r="E188" s="15" t="s">
        <v>157</v>
      </c>
      <c r="F188" s="15" t="s">
        <v>1752</v>
      </c>
      <c r="G188" s="15" t="s">
        <v>578</v>
      </c>
      <c r="H188" s="15" t="s">
        <v>1753</v>
      </c>
      <c r="I188" s="15" t="s">
        <v>1754</v>
      </c>
      <c r="J188" s="15" t="s">
        <v>35</v>
      </c>
      <c r="K188" s="15" t="s">
        <v>1755</v>
      </c>
      <c r="L188" s="13" t="s">
        <v>1756</v>
      </c>
      <c r="M188" s="15" t="s">
        <v>67</v>
      </c>
      <c r="N188" s="13" t="s">
        <v>1757</v>
      </c>
      <c r="O188" s="15" t="s">
        <v>23</v>
      </c>
      <c r="P188" s="13" t="s">
        <v>1758</v>
      </c>
      <c r="Q188" s="13" t="s">
        <v>1759</v>
      </c>
      <c r="R188" s="5" t="str">
        <f>HYPERLINK("https://doi.org/10.48550/arXiv.2303.08774","10.48550/arXiv.2303.08774")</f>
        <v>10.48550/arXiv.2303.08774</v>
      </c>
    </row>
    <row r="189" spans="1:18" ht="34.200000000000003" x14ac:dyDescent="0.3">
      <c r="A189" s="27">
        <v>187</v>
      </c>
      <c r="B189" s="20" t="s">
        <v>1760</v>
      </c>
      <c r="C189" s="2" t="s">
        <v>1761</v>
      </c>
      <c r="D189" s="2">
        <v>2023</v>
      </c>
      <c r="E189" s="2" t="s">
        <v>1762</v>
      </c>
      <c r="F189" s="2" t="s">
        <v>34</v>
      </c>
      <c r="G189" s="2" t="s">
        <v>578</v>
      </c>
      <c r="H189" s="2" t="s">
        <v>1763</v>
      </c>
      <c r="I189" s="2" t="s">
        <v>1764</v>
      </c>
      <c r="J189" s="2" t="s">
        <v>35</v>
      </c>
      <c r="K189" s="2" t="s">
        <v>1765</v>
      </c>
      <c r="L189" s="12" t="s">
        <v>1766</v>
      </c>
      <c r="M189" s="2" t="s">
        <v>67</v>
      </c>
      <c r="N189" s="12" t="s">
        <v>1767</v>
      </c>
      <c r="O189" s="2" t="s">
        <v>23</v>
      </c>
      <c r="P189" s="12" t="s">
        <v>1768</v>
      </c>
      <c r="Q189" s="12" t="s">
        <v>1769</v>
      </c>
      <c r="R189" s="1" t="s">
        <v>1853</v>
      </c>
    </row>
    <row r="190" spans="1:18" ht="24" x14ac:dyDescent="0.3">
      <c r="A190" s="29">
        <v>188</v>
      </c>
      <c r="B190" s="23" t="s">
        <v>1770</v>
      </c>
      <c r="C190" s="16" t="s">
        <v>1771</v>
      </c>
      <c r="D190" s="16">
        <v>2020</v>
      </c>
      <c r="E190" s="16" t="s">
        <v>628</v>
      </c>
      <c r="F190" s="16" t="s">
        <v>1752</v>
      </c>
      <c r="G190" s="16" t="s">
        <v>578</v>
      </c>
      <c r="H190" s="16" t="s">
        <v>1772</v>
      </c>
      <c r="I190" s="16" t="s">
        <v>1773</v>
      </c>
      <c r="J190" s="16" t="s">
        <v>35</v>
      </c>
      <c r="K190" s="16" t="s">
        <v>1774</v>
      </c>
      <c r="L190" s="14" t="s">
        <v>1775</v>
      </c>
      <c r="M190" s="16" t="s">
        <v>132</v>
      </c>
      <c r="N190" s="14" t="s">
        <v>1776</v>
      </c>
      <c r="O190" s="16" t="s">
        <v>23</v>
      </c>
      <c r="P190" s="14" t="s">
        <v>1777</v>
      </c>
      <c r="Q190" s="14" t="s">
        <v>1778</v>
      </c>
      <c r="R190" s="6" t="s">
        <v>1808</v>
      </c>
    </row>
  </sheetData>
  <mergeCells count="1">
    <mergeCell ref="A1:R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Extraction 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علي  عكرمة</cp:lastModifiedBy>
  <cp:lastPrinted>2026-03-16T20:17:43Z</cp:lastPrinted>
  <dcterms:created xsi:type="dcterms:W3CDTF">2026-03-16T19:57:11Z</dcterms:created>
  <dcterms:modified xsi:type="dcterms:W3CDTF">2026-03-17T10:55:14Z</dcterms:modified>
</cp:coreProperties>
</file>